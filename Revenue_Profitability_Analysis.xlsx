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679aba1b3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2a1dbb97ae4610"/>
    <x:sheet xmlns:r="http://schemas.openxmlformats.org/officeDocument/2006/relationships" name="Transaction Data" sheetId="2" r:id="R830f4021163e4a51"/>
    <x:sheet xmlns:r="http://schemas.openxmlformats.org/officeDocument/2006/relationships" name="Customer Analysis" sheetId="3" r:id="Rdbea66d9e1f84940"/>
    <x:sheet xmlns:r="http://schemas.openxmlformats.org/officeDocument/2006/relationships" name="Product Analysis" sheetId="4" r:id="R092e5104ef144a5e"/>
    <x:sheet xmlns:r="http://schemas.openxmlformats.org/officeDocument/2006/relationships" name="Regional Analysis" sheetId="5" r:id="R9e03ebb646644c0f"/>
    <x:sheet xmlns:r="http://schemas.openxmlformats.org/officeDocument/2006/relationships" name="KPI Summary" sheetId="6" r:id="R180425a505a6409c"/>
    <x:sheet xmlns:r="http://schemas.openxmlformats.org/officeDocument/2006/relationships" name="Dashboard" sheetId="7" r:id="Rf7cf510ec62e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/d/yyyy"/>
    <x:numFmt numFmtId="201" formatCode="$#,##0;[Red]($#,##0);-"/>
    <x:numFmt numFmtId="202" formatCode="0.0%;[Red](0.0%);-"/>
    <x:numFmt numFmtId="203" formatCode="#,##0"/>
    <x:numFmt numFmtId="204" formatCode="mmm"/>
    <x:numFmt numFmtId="205" formatCode="#,##0;[Red](#,##0);-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20"/>
      <x:color rgb="FFFFFFFF"/>
      <x:name val="Carlito"/>
    </x:font>
    <x:font>
      <x:i/>
      <x:sz val="11"/>
      <x:color rgb="FF555555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6"/>
      <x:color rgb="FF008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14" xfId="0" applyNumberFormat="1" applyFont="1" applyFill="1" applyBorder="1" applyAlignment="1">
      <x:alignment horizontal="center"/>
    </x:xf>
    <x:xf numFmtId="0" fontId="5" fillId="5" borderId="15" xfId="0" applyNumberFormat="1" applyFont="1" applyFill="1" applyBorder="1" applyAlignment="1">
      <x:alignment horizontal="center"/>
    </x:xf>
    <x:xf numFmtId="0" fontId="5" fillId="5" borderId="16" xfId="0" applyNumberFormat="1" applyFont="1" applyFill="1" applyBorder="1" applyAlignment="1">
      <x:alignment horizontal="center"/>
    </x:xf>
    <x:xf numFmtId="0" fontId="5" fillId="5" borderId="17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5" fillId="5" borderId="13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4" xfId="0" applyNumberFormat="1" applyFont="1" applyFill="1" applyBorder="1" applyAlignment="1">
      <x:alignment horizontal="center" vertical="center"/>
    </x:xf>
    <x:xf numFmtId="0" fontId="5" fillId="5" borderId="15" xfId="0" applyNumberFormat="1" applyFont="1" applyFill="1" applyBorder="1" applyAlignment="1">
      <x:alignment horizontal="center" vertical="center"/>
    </x:xf>
    <x:xf numFmtId="0" fontId="5" fillId="5" borderId="16" xfId="0" applyNumberFormat="1" applyFont="1" applyFill="1" applyBorder="1" applyAlignment="1">
      <x:alignment horizontal="center" vertical="center"/>
    </x:xf>
    <x:xf numFmtId="0" fontId="5" fillId="5" borderId="17" xfId="0" applyNumberFormat="1" applyFont="1" applyFill="1" applyBorder="1" applyAlignment="1">
      <x:alignment horizontal="center" vertical="center"/>
    </x:xf>
    <x:xf numFmtId="201" fontId="5" fillId="5" borderId="2" xfId="0" applyNumberFormat="1" applyFont="1" applyFill="1" applyBorder="1" applyAlignment="1">
      <x:alignment horizontal="center" vertical="center"/>
    </x:xf>
    <x:xf numFmtId="201" fontId="5" fillId="5" borderId="10" xfId="0" applyNumberFormat="1" applyFont="1" applyFill="1" applyBorder="1" applyAlignment="1">
      <x:alignment horizontal="center" vertical="center"/>
    </x:xf>
    <x:xf numFmtId="202" fontId="5" fillId="5" borderId="2" xfId="0" applyNumberFormat="1" applyFont="1" applyFill="1" applyBorder="1" applyAlignment="1">
      <x:alignment horizontal="center" vertical="center"/>
    </x:xf>
    <x:xf numFmtId="202" fontId="5" fillId="5" borderId="10" xfId="0" applyNumberFormat="1" applyFont="1" applyFill="1" applyBorder="1" applyAlignment="1">
      <x:alignment horizontal="center" vertical="center"/>
    </x:xf>
    <x:xf numFmtId="203" fontId="5" fillId="5" borderId="2" xfId="0" applyNumberFormat="1" applyFont="1" applyFill="1" applyBorder="1" applyAlignment="1">
      <x:alignment horizontal="center" vertical="center"/>
    </x:xf>
    <x:xf numFmtId="203" fontId="5" fillId="5" borderId="1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7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/>
    <x:xf numFmtId="205" fontId="8" fillId="0" borderId="0" xfId="0" applyNumberFormat="1" applyFont="1" applyFill="1" applyBorder="1"/>
    <x:xf numFmtId="205" fontId="5" fillId="5" borderId="2" xfId="0" applyNumberFormat="1" applyFont="1" applyFill="1" applyBorder="1" applyAlignment="1">
      <x:alignment horizontal="center" vertical="center"/>
    </x:xf>
    <x:xf numFmtId="201" fontId="9" fillId="5" borderId="2" xfId="0" applyNumberFormat="1" applyFont="1" applyFill="1" applyBorder="1" applyAlignment="1">
      <x:alignment horizontal="center" vertical="center"/>
    </x:xf>
    <x:xf numFmtId="202" fontId="9" fillId="5" borderId="2" xfId="0" applyNumberFormat="1" applyFont="1" applyFill="1" applyBorder="1" applyAlignment="1">
      <x:alignment horizontal="center" vertical="center"/>
    </x:xf>
    <x:xf numFmtId="205" fontId="9" fillId="5" borderId="2" xfId="0" applyNumberFormat="1" applyFont="1" applyFill="1" applyBorder="1" applyAlignment="1">
      <x:alignment horizontal="center" vertical="center"/>
    </x:xf>
    <x:xf numFmtId="204" fontId="7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16f2597dd4c81" /><Relationship Type="http://schemas.openxmlformats.org/officeDocument/2006/relationships/theme" Target="/xl/theme/theme1.xml" Id="Rf08aa263038c4851" /><Relationship Type="http://schemas.openxmlformats.org/officeDocument/2006/relationships/sharedStrings" Target="/xl/sharedStrings.xml" Id="Ree1ed4ae34a54a80" /><Relationship Type="http://schemas.openxmlformats.org/officeDocument/2006/relationships/worksheet" Target="/xl/worksheets/sheet1.xml" Id="R2e2a1dbb97ae4610" /><Relationship Type="http://schemas.openxmlformats.org/officeDocument/2006/relationships/worksheet" Target="/xl/worksheets/sheet2.xml" Id="R830f4021163e4a51" /><Relationship Type="http://schemas.openxmlformats.org/officeDocument/2006/relationships/worksheet" Target="/xl/worksheets/sheet3.xml" Id="Rdbea66d9e1f84940" /><Relationship Type="http://schemas.openxmlformats.org/officeDocument/2006/relationships/worksheet" Target="/xl/worksheets/sheet4.xml" Id="R092e5104ef144a5e" /><Relationship Type="http://schemas.openxmlformats.org/officeDocument/2006/relationships/worksheet" Target="/xl/worksheets/sheet5.xml" Id="R9e03ebb646644c0f" /><Relationship Type="http://schemas.openxmlformats.org/officeDocument/2006/relationships/worksheet" Target="/xl/worksheets/sheet6.xml" Id="R180425a505a6409c" /><Relationship Type="http://schemas.openxmlformats.org/officeDocument/2006/relationships/worksheet" Target="/xl/worksheets/sheet7.xml" Id="Rf7cf510ec62e49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e3a09538864f5d" /><Relationship Type="http://schemas.openxmlformats.org/officeDocument/2006/relationships/chart" Target="/xl/drawings/charts/chart2.xml" Id="R8afc2cb1bf2443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Gross Profit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 Revenue &amp; Gross Profit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'Dashboard'!$B$26:$B$29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'Dashboard'!$C$26:$C$29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e3a09538864f5d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fc2cb1bf2443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" displayName="Transactions" ref="A3:M441" headerRowCount="1" totalsRowCount="0" totalsRowShown="0">
  <x:tableColumns count="13">
    <x:tableColumn id="1" name="Transaction ID"/>
    <x:tableColumn id="2" name="Date"/>
    <x:tableColumn id="3" name="Customer"/>
    <x:tableColumn id="4" name="Segment"/>
    <x:tableColumn id="5" name="Region"/>
    <x:tableColumn id="6" name="Product"/>
    <x:tableColumn id="7" name="Units"/>
    <x:tableColumn id="8" name="Unit Price"/>
    <x:tableColumn id="9" name="Discount %"/>
    <x:tableColumn id="10" name="Net Revenue"/>
    <x:tableColumn id="11" name="COGS"/>
    <x:tableColumn id="12" name="Gross Profit"/>
    <x:tableColumn id="13" name="Gross 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Table" displayName="CustomerTable" ref="A3:F33" headerRowCount="1" totalsRowCount="0" totalsRowShown="0">
  <x:tableColumns count="6">
    <x:tableColumn id="1" name="Customer"/>
    <x:tableColumn id="2" name="Revenue"/>
    <x:tableColumn id="3" name="COGS"/>
    <x:tableColumn id="4" name="Gross Profit"/>
    <x:tableColumn id="5" name="Gross Margin"/>
    <x:tableColumn id="6" name="Uni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Table" displayName="ProductTable" ref="A3:F7" headerRowCount="1" totalsRowCount="0" totalsRowShown="0">
  <x:tableColumns count="6">
    <x:tableColumn id="1" name="Product"/>
    <x:tableColumn id="2" name="Revenue"/>
    <x:tableColumn id="3" name="COGS"/>
    <x:tableColumn id="4" name="Gross Profit"/>
    <x:tableColumn id="5" name="Gross Margin"/>
    <x:tableColumn id="6" name="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Table" displayName="RegionTable" ref="A3:F7" headerRowCount="1" totalsRowCount="0" totalsRowShown="0">
  <x:tableColumns count="6">
    <x:tableColumn id="1" name="Region"/>
    <x:tableColumn id="2" name="Revenue"/>
    <x:tableColumn id="3" name="COGS"/>
    <x:tableColumn id="4" name="Gross Profit"/>
    <x:tableColumn id="5" name="Gross Margin"/>
    <x:tableColumn id="6" name="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f49b82a153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6775a10b042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608eeb99ce47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bae70399e34c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8693236edb3427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5" t="str">
        <x:v>Project 3 – Revenue &amp; Profitability Analytics</x:v>
      </x:c>
      <x:c r="B1" s="5"/>
      <x:c r="C1" s="5"/>
      <x:c r="D1" s="5"/>
      <x:c r="E1" s="5"/>
      <x:c r="F1" s="5"/>
    </x:row>
    <x:row r="3" ht="35" customHeight="1">
      <x:c r="A3" s="12" t="str">
        <x:v>Objective</x:v>
      </x:c>
      <x:c r="B3" t="str">
        <x:v>Analyze transaction-level revenue, gross profit, margins, customer concentration, product mix, and regional performance.</x:v>
      </x:c>
    </x:row>
    <x:row r="4" ht="35" customHeight="1">
      <x:c r="A4" s="12" t="str">
        <x:v>Data</x:v>
      </x:c>
      <x:c r="B4" t="str">
        <x:v>Synthetic FY2026 transaction dataset created solely for portfolio demonstration.</x:v>
      </x:c>
    </x:row>
    <x:row r="5" ht="35" customHeight="1">
      <x:c r="A5" s="12" t="str">
        <x:v>Skills Demonstrated</x:v>
      </x:c>
      <x:c r="B5" t="str">
        <x:v>Revenue analysis, profitability analysis, KPI tracking, segmentation, data validation, dashboarding.</x:v>
      </x:c>
    </x:row>
    <x:row r="6" ht="35" customHeight="1">
      <x:c r="A6" s="12" t="str">
        <x:v>Tools</x:v>
      </x:c>
      <x:c r="B6" t="str">
        <x:v>Excel model designed to mirror an SQL + Power BI analytics workflow.</x:v>
      </x:c>
    </x:row>
    <x:row r="7" ht="35" customHeight="1">
      <x:c r="A7" s="12" t="str">
        <x:v>Portfolio Story</x:v>
      </x:c>
      <x:c r="B7" t="str">
        <x:v>Identify where revenue is growing, which products/customers generate profit, and where margin pressure exists.</x:v>
      </x:c>
    </x:row>
    <x:row r="8" ht="35" customHeight="1">
      <x:c r="A8" s="12" t="str">
        <x:v>Confidentiality</x:v>
      </x:c>
      <x:c r="B8" t="str">
        <x:v>No employer or client data is used.</x:v>
      </x:c>
    </x:row>
    <x:row r="9" ht="35" customHeight="1">
      <x:c r="A9" s="12" t="str">
        <x:v>Suggested BI Extension</x:v>
      </x:c>
      <x:c r="B9" t="str">
        <x:v>Load Transaction Data into Power BI and reproduce the dashboard using DAX measures.</x:v>
      </x:c>
    </x:row>
    <x:row r="10" ht="35" customHeight="1">
      <x:c r="A10" s="12" t="str">
        <x:v>Suggested SQL Extension</x:v>
      </x:c>
      <x:c r="B10" t="str">
        <x:v>Use the included SQL script to recreate KPI, customer, product, and regional aggregations.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5" t="str">
        <x:v>Synthetic FY2026 Transaction-Level Revenue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17" t="str">
        <x:v>Transaction ID</x:v>
      </x:c>
      <x:c r="B3" s="17" t="str">
        <x:v>Date</x:v>
      </x:c>
      <x:c r="C3" s="17" t="str">
        <x:v>Customer</x:v>
      </x:c>
      <x:c r="D3" s="17" t="str">
        <x:v>Segment</x:v>
      </x:c>
      <x:c r="E3" s="17" t="str">
        <x:v>Region</x:v>
      </x:c>
      <x:c r="F3" s="17" t="str">
        <x:v>Product</x:v>
      </x:c>
      <x:c r="G3" s="17" t="str">
        <x:v>Units</x:v>
      </x:c>
      <x:c r="H3" s="17" t="str">
        <x:v>Unit Price</x:v>
      </x:c>
      <x:c r="I3" s="17" t="str">
        <x:v>Discount %</x:v>
      </x:c>
      <x:c r="J3" s="17" t="str">
        <x:v>Net Revenue</x:v>
      </x:c>
      <x:c r="K3" s="17" t="str">
        <x:v>COGS</x:v>
      </x:c>
      <x:c r="L3" s="17" t="str">
        <x:v>Gross Profit</x:v>
      </x:c>
      <x:c r="M3" s="17" t="str">
        <x:v>Gross Margin</x:v>
      </x:c>
    </x:row>
    <x:row r="4">
      <x:c r="A4" t="n">
        <x:v>10001</x:v>
      </x:c>
      <x:c r="B4" s="20" t="n">
        <x:v>46023</x:v>
      </x:c>
      <x:c r="C4" t="str">
        <x:v>Customer 04</x:v>
      </x:c>
      <x:c r="D4" t="str">
        <x:v>SMB</x:v>
      </x:c>
      <x:c r="E4" t="str">
        <x:v>Midwest</x:v>
      </x:c>
      <x:c r="F4" t="str">
        <x:v>Finance Cloud</x:v>
      </x:c>
      <x:c r="G4" t="n">
        <x:v>14</x:v>
      </x:c>
      <x:c r="H4" s="22" t="n">
        <x:v>638.7768097011192</x:v>
      </x:c>
      <x:c r="I4" s="24" t="n">
        <x:v>0.02</x:v>
      </x:c>
      <x:c r="J4" s="22" t="n">
        <x:v>8764.017829099355</x:v>
      </x:c>
      <x:c r="K4" s="22" t="n">
        <x:v>2646.5309042558074</x:v>
      </x:c>
      <x:c r="L4" s="22" t="n">
        <x:v>6117.486924843548</x:v>
      </x:c>
      <x:c r="M4" s="24" t="n">
        <x:v>0.6980231035737429</x:v>
      </x:c>
    </x:row>
    <x:row r="5">
      <x:c r="A5" t="n">
        <x:v>10002</x:v>
      </x:c>
      <x:c r="B5" s="20" t="n">
        <x:v>46026</x:v>
      </x:c>
      <x:c r="C5" t="str">
        <x:v>Customer 11</x:v>
      </x:c>
      <x:c r="D5" t="str">
        <x:v>Enterprise</x:v>
      </x:c>
      <x:c r="E5" t="str">
        <x:v>South</x:v>
      </x:c>
      <x:c r="F5" t="str">
        <x:v>Analytics Pro</x:v>
      </x:c>
      <x:c r="G5" t="n">
        <x:v>43</x:v>
      </x:c>
      <x:c r="H5" s="22" t="n">
        <x:v>403.9654144478344</x:v>
      </x:c>
      <x:c r="I5" s="24" t="n">
        <x:v>0.08</x:v>
      </x:c>
      <x:c r="J5" s="22" t="n">
        <x:v>15980.871795556328</x:v>
      </x:c>
      <x:c r="K5" s="22" t="n">
        <x:v>5742.677404337797</x:v>
      </x:c>
      <x:c r="L5" s="22" t="n">
        <x:v>10238.19439121853</x:v>
      </x:c>
      <x:c r="M5" s="24" t="n">
        <x:v>0.6406530583685293</x:v>
      </x:c>
    </x:row>
    <x:row r="6">
      <x:c r="A6" t="n">
        <x:v>10003</x:v>
      </x:c>
      <x:c r="B6" s="20" t="n">
        <x:v>46029</x:v>
      </x:c>
      <x:c r="C6" t="str">
        <x:v>Customer 18</x:v>
      </x:c>
      <x:c r="D6" t="str">
        <x:v>Mid-Market</x:v>
      </x:c>
      <x:c r="E6" t="str">
        <x:v>West</x:v>
      </x:c>
      <x:c r="F6" t="str">
        <x:v>Data Connect</x:v>
      </x:c>
      <x:c r="G6" t="n">
        <x:v>26</x:v>
      </x:c>
      <x:c r="H6" s="22" t="n">
        <x:v>234.2157414110872</x:v>
      </x:c>
      <x:c r="I6" s="24" t="n">
        <x:v>0.08</x:v>
      </x:c>
      <x:c r="J6" s="22" t="n">
        <x:v>5602.440534553207</x:v>
      </x:c>
      <x:c r="K6" s="22" t="n">
        <x:v>2661.7247443856677</x:v>
      </x:c>
      <x:c r="L6" s="22" t="n">
        <x:v>2940.715790167539</x:v>
      </x:c>
      <x:c r="M6" s="24" t="n">
        <x:v>0.524899063547501</x:v>
      </x:c>
    </x:row>
    <x:row r="7">
      <x:c r="A7" t="n">
        <x:v>10004</x:v>
      </x:c>
      <x:c r="B7" s="20" t="n">
        <x:v>46032</x:v>
      </x:c>
      <x:c r="C7" t="str">
        <x:v>Customer 25</x:v>
      </x:c>
      <x:c r="D7" t="str">
        <x:v>SMB</x:v>
      </x:c>
      <x:c r="E7" t="str">
        <x:v>Northeast</x:v>
      </x:c>
      <x:c r="F7" t="str">
        <x:v>Reporting Suite</x:v>
      </x:c>
      <x:c r="G7" t="n">
        <x:v>16</x:v>
      </x:c>
      <x:c r="H7" s="22" t="n">
        <x:v>315.4010995047296</x:v>
      </x:c>
      <x:c r="I7" s="24" t="n">
        <x:v>0.08</x:v>
      </x:c>
      <x:c r="J7" s="22" t="n">
        <x:v>4642.70418470962</x:v>
      </x:c>
      <x:c r="K7" s="22" t="n">
        <x:v>1931.253474377666</x:v>
      </x:c>
      <x:c r="L7" s="22" t="n">
        <x:v>2711.450710331954</x:v>
      </x:c>
      <x:c r="M7" s="24" t="n">
        <x:v>0.5840240089519171</x:v>
      </x:c>
    </x:row>
    <x:row r="8">
      <x:c r="A8" t="n">
        <x:v>10005</x:v>
      </x:c>
      <x:c r="B8" s="20" t="n">
        <x:v>46035</x:v>
      </x:c>
      <x:c r="C8" t="str">
        <x:v>Customer 02</x:v>
      </x:c>
      <x:c r="D8" t="str">
        <x:v>Enterprise</x:v>
      </x:c>
      <x:c r="E8" t="str">
        <x:v>Midwest</x:v>
      </x:c>
      <x:c r="F8" t="str">
        <x:v>Finance Cloud</x:v>
      </x:c>
      <x:c r="G8" t="n">
        <x:v>38</x:v>
      </x:c>
      <x:c r="H8" s="22" t="n">
        <x:v>685.5934792720673</x:v>
      </x:c>
      <x:c r="I8" s="24" t="n">
        <x:v>0.02</x:v>
      </x:c>
      <x:c r="J8" s="22" t="n">
        <x:v>25531.501168091785</x:v>
      </x:c>
      <x:c r="K8" s="22" t="n">
        <x:v>8423.020183518718</x:v>
      </x:c>
      <x:c r="L8" s="22" t="n">
        <x:v>17108.480984573067</x:v>
      </x:c>
      <x:c r="M8" s="24" t="n">
        <x:v>0.6700930302505886</x:v>
      </x:c>
    </x:row>
    <x:row r="9">
      <x:c r="A9" t="n">
        <x:v>10006</x:v>
      </x:c>
      <x:c r="B9" s="20" t="n">
        <x:v>46038</x:v>
      </x:c>
      <x:c r="C9" t="str">
        <x:v>Customer 09</x:v>
      </x:c>
      <x:c r="D9" t="str">
        <x:v>Mid-Market</x:v>
      </x:c>
      <x:c r="E9" t="str">
        <x:v>South</x:v>
      </x:c>
      <x:c r="F9" t="str">
        <x:v>Analytics Pro</x:v>
      </x:c>
      <x:c r="G9" t="n">
        <x:v>30</x:v>
      </x:c>
      <x:c r="H9" s="22" t="n">
        <x:v>416.06811229283187</x:v>
      </x:c>
      <x:c r="I9" s="24" t="n">
        <x:v>0.02</x:v>
      </x:c>
      <x:c r="J9" s="22" t="n">
        <x:v>12232.402501409257</x:v>
      </x:c>
      <x:c r="K9" s="22" t="n">
        <x:v>4474.193118109922</x:v>
      </x:c>
      <x:c r="L9" s="22" t="n">
        <x:v>7758.209383299335</x:v>
      </x:c>
      <x:c r="M9" s="24" t="n">
        <x:v>0.6342343118946205</x:v>
      </x:c>
    </x:row>
    <x:row r="10">
      <x:c r="A10" t="n">
        <x:v>10007</x:v>
      </x:c>
      <x:c r="B10" s="20" t="n">
        <x:v>46041</x:v>
      </x:c>
      <x:c r="C10" t="str">
        <x:v>Customer 16</x:v>
      </x:c>
      <x:c r="D10" t="str">
        <x:v>SMB</x:v>
      </x:c>
      <x:c r="E10" t="str">
        <x:v>West</x:v>
      </x:c>
      <x:c r="F10" t="str">
        <x:v>Data Connect</x:v>
      </x:c>
      <x:c r="G10" t="n">
        <x:v>16</x:v>
      </x:c>
      <x:c r="H10" s="22" t="n">
        <x:v>238.90732532093887</x:v>
      </x:c>
      <x:c r="I10" s="24" t="n">
        <x:v>0.03</x:v>
      </x:c>
      <x:c r="J10" s="22" t="n">
        <x:v>3707.841688980971</x:v>
      </x:c>
      <x:c r="K10" s="22" t="n">
        <x:v>1807.108298732513</x:v>
      </x:c>
      <x:c r="L10" s="22" t="n">
        <x:v>1900.733390248458</x:v>
      </x:c>
      <x:c r="M10" s="24" t="n">
        <x:v>0.5126252816826271</x:v>
      </x:c>
    </x:row>
    <x:row r="11">
      <x:c r="A11" t="n">
        <x:v>10008</x:v>
      </x:c>
      <x:c r="B11" s="20" t="n">
        <x:v>46044</x:v>
      </x:c>
      <x:c r="C11" t="str">
        <x:v>Customer 23</x:v>
      </x:c>
      <x:c r="D11" t="str">
        <x:v>Enterprise</x:v>
      </x:c>
      <x:c r="E11" t="str">
        <x:v>Northeast</x:v>
      </x:c>
      <x:c r="F11" t="str">
        <x:v>Reporting Suite</x:v>
      </x:c>
      <x:c r="G11" t="n">
        <x:v>41</x:v>
      </x:c>
      <x:c r="H11" s="22" t="n">
        <x:v>316.9971944505169</x:v>
      </x:c>
      <x:c r="I11" s="24" t="n">
        <x:v>0</x:v>
      </x:c>
      <x:c r="J11" s="22" t="n">
        <x:v>12996.88497247119</x:v>
      </x:c>
      <x:c r="K11" s="22" t="n">
        <x:v>5607.981568746892</x:v>
      </x:c>
      <x:c r="L11" s="22" t="n">
        <x:v>7388.903403724299</x:v>
      </x:c>
      <x:c r="M11" s="24" t="n">
        <x:v>0.5685134106653091</x:v>
      </x:c>
    </x:row>
    <x:row r="12">
      <x:c r="A12" t="n">
        <x:v>10009</x:v>
      </x:c>
      <x:c r="B12" s="20" t="n">
        <x:v>46047</x:v>
      </x:c>
      <x:c r="C12" t="str">
        <x:v>Customer 30</x:v>
      </x:c>
      <x:c r="D12" t="str">
        <x:v>Mid-Market</x:v>
      </x:c>
      <x:c r="E12" t="str">
        <x:v>Midwest</x:v>
      </x:c>
      <x:c r="F12" t="str">
        <x:v>Finance Cloud</x:v>
      </x:c>
      <x:c r="G12" t="n">
        <x:v>7</x:v>
      </x:c>
      <x:c r="H12" s="22" t="n">
        <x:v>646.9309382364742</x:v>
      </x:c>
      <x:c r="I12" s="24" t="n">
        <x:v>0.08</x:v>
      </x:c>
      <x:c r="J12" s="22" t="n">
        <x:v>4166.235242242893</x:v>
      </x:c>
      <x:c r="K12" s="22" t="n">
        <x:v>1290.1118808745753</x:v>
      </x:c>
      <x:c r="L12" s="22" t="n">
        <x:v>2876.123361368318</x:v>
      </x:c>
      <x:c r="M12" s="24" t="n">
        <x:v>0.6903410859296454</x:v>
      </x:c>
    </x:row>
    <x:row r="13">
      <x:c r="A13" t="n">
        <x:v>10010</x:v>
      </x:c>
      <x:c r="B13" s="20" t="n">
        <x:v>46023</x:v>
      </x:c>
      <x:c r="C13" t="str">
        <x:v>Customer 07</x:v>
      </x:c>
      <x:c r="D13" t="str">
        <x:v>SMB</x:v>
      </x:c>
      <x:c r="E13" t="str">
        <x:v>South</x:v>
      </x:c>
      <x:c r="F13" t="str">
        <x:v>Analytics Pro</x:v>
      </x:c>
      <x:c r="G13" t="n">
        <x:v>11</x:v>
      </x:c>
      <x:c r="H13" s="22" t="n">
        <x:v>430.74828035346513</x:v>
      </x:c>
      <x:c r="I13" s="24" t="n">
        <x:v>0.03</x:v>
      </x:c>
      <x:c r="J13" s="22" t="n">
        <x:v>4596.084151371473</x:v>
      </x:c>
      <x:c r="K13" s="22" t="n">
        <x:v>1764.287825965619</x:v>
      </x:c>
      <x:c r="L13" s="22" t="n">
        <x:v>2831.796325405854</x:v>
      </x:c>
      <x:c r="M13" s="24" t="n">
        <x:v>0.6161323927371619</x:v>
      </x:c>
    </x:row>
    <x:row r="14">
      <x:c r="A14" t="n">
        <x:v>10011</x:v>
      </x:c>
      <x:c r="B14" s="20" t="n">
        <x:v>46026</x:v>
      </x:c>
      <x:c r="C14" t="str">
        <x:v>Customer 14</x:v>
      </x:c>
      <x:c r="D14" t="str">
        <x:v>Enterprise</x:v>
      </x:c>
      <x:c r="E14" t="str">
        <x:v>West</x:v>
      </x:c>
      <x:c r="F14" t="str">
        <x:v>Data Connect</x:v>
      </x:c>
      <x:c r="G14" t="n">
        <x:v>44</x:v>
      </x:c>
      <x:c r="H14" s="22" t="n">
        <x:v>234.4851050421522</x:v>
      </x:c>
      <x:c r="I14" s="24" t="n">
        <x:v>0.03</x:v>
      </x:c>
      <x:c r="J14" s="22" t="n">
        <x:v>10007.824283199057</x:v>
      </x:c>
      <x:c r="K14" s="22" t="n">
        <x:v>4946.477998963532</x:v>
      </x:c>
      <x:c r="L14" s="22" t="n">
        <x:v>5061.346284235526</x:v>
      </x:c>
      <x:c r="M14" s="24" t="n">
        <x:v>0.5057389239669622</x:v>
      </x:c>
    </x:row>
    <x:row r="15">
      <x:c r="A15" t="n">
        <x:v>10012</x:v>
      </x:c>
      <x:c r="B15" s="20" t="n">
        <x:v>46029</x:v>
      </x:c>
      <x:c r="C15" t="str">
        <x:v>Customer 21</x:v>
      </x:c>
      <x:c r="D15" t="str">
        <x:v>Mid-Market</x:v>
      </x:c>
      <x:c r="E15" t="str">
        <x:v>Northeast</x:v>
      </x:c>
      <x:c r="F15" t="str">
        <x:v>Reporting Suite</x:v>
      </x:c>
      <x:c r="G15" t="n">
        <x:v>25</x:v>
      </x:c>
      <x:c r="H15" s="22" t="n">
        <x:v>326.4499974139811</x:v>
      </x:c>
      <x:c r="I15" s="24" t="n">
        <x:v>0</x:v>
      </x:c>
      <x:c r="J15" s="22" t="n">
        <x:v>8161.249935349528</x:v>
      </x:c>
      <x:c r="K15" s="22" t="n">
        <x:v>3378.8089809393414</x:v>
      </x:c>
      <x:c r="L15" s="22" t="n">
        <x:v>4782.440954410186</x:v>
      </x:c>
      <x:c r="M15" s="24" t="n">
        <x:v>0.5859936887480417</x:v>
      </x:c>
    </x:row>
    <x:row r="16">
      <x:c r="A16" t="n">
        <x:v>10013</x:v>
      </x:c>
      <x:c r="B16" s="20" t="n">
        <x:v>46032</x:v>
      </x:c>
      <x:c r="C16" t="str">
        <x:v>Customer 28</x:v>
      </x:c>
      <x:c r="D16" t="str">
        <x:v>SMB</x:v>
      </x:c>
      <x:c r="E16" t="str">
        <x:v>Midwest</x:v>
      </x:c>
      <x:c r="F16" t="str">
        <x:v>Finance Cloud</x:v>
      </x:c>
      <x:c r="G16" t="n">
        <x:v>4</x:v>
      </x:c>
      <x:c r="H16" s="22" t="n">
        <x:v>629.9238897739564</x:v>
      </x:c>
      <x:c r="I16" s="24" t="n">
        <x:v>0.03</x:v>
      </x:c>
      <x:c r="J16" s="22" t="n">
        <x:v>2444.1046923229505</x:v>
      </x:c>
      <x:c r="K16" s="22" t="n">
        <x:v>746.6137400844326</x:v>
      </x:c>
      <x:c r="L16" s="22" t="n">
        <x:v>1697.4909522385178</x:v>
      </x:c>
      <x:c r="M16" s="24" t="n">
        <x:v>0.6945246484614255</x:v>
      </x:c>
    </x:row>
    <x:row r="17">
      <x:c r="A17" t="n">
        <x:v>10014</x:v>
      </x:c>
      <x:c r="B17" s="20" t="n">
        <x:v>46035</x:v>
      </x:c>
      <x:c r="C17" t="str">
        <x:v>Customer 05</x:v>
      </x:c>
      <x:c r="D17" t="str">
        <x:v>Enterprise</x:v>
      </x:c>
      <x:c r="E17" t="str">
        <x:v>South</x:v>
      </x:c>
      <x:c r="F17" t="str">
        <x:v>Analytics Pro</x:v>
      </x:c>
      <x:c r="G17" t="n">
        <x:v>49</x:v>
      </x:c>
      <x:c r="H17" s="22" t="n">
        <x:v>412.33823905358804</x:v>
      </x:c>
      <x:c r="I17" s="24" t="n">
        <x:v>0</x:v>
      </x:c>
      <x:c r="J17" s="22" t="n">
        <x:v>20204.573713625814</x:v>
      </x:c>
      <x:c r="K17" s="22" t="n">
        <x:v>7787.985283599848</x:v>
      </x:c>
      <x:c r="L17" s="22" t="n">
        <x:v>12416.588430025966</x:v>
      </x:c>
      <x:c r="M17" s="24" t="n">
        <x:v>0.6145434497166506</x:v>
      </x:c>
    </x:row>
    <x:row r="18">
      <x:c r="A18" t="n">
        <x:v>10015</x:v>
      </x:c>
      <x:c r="B18" s="20" t="n">
        <x:v>46038</x:v>
      </x:c>
      <x:c r="C18" t="str">
        <x:v>Customer 12</x:v>
      </x:c>
      <x:c r="D18" t="str">
        <x:v>Mid-Market</x:v>
      </x:c>
      <x:c r="E18" t="str">
        <x:v>West</x:v>
      </x:c>
      <x:c r="F18" t="str">
        <x:v>Data Connect</x:v>
      </x:c>
      <x:c r="G18" t="n">
        <x:v>34</x:v>
      </x:c>
      <x:c r="H18" s="22" t="n">
        <x:v>232.60905173854698</x:v>
      </x:c>
      <x:c r="I18" s="24" t="n">
        <x:v>0.05</x:v>
      </x:c>
      <x:c r="J18" s="22" t="n">
        <x:v>7513.272371155067</x:v>
      </x:c>
      <x:c r="K18" s="22" t="n">
        <x:v>3444.815782595588</x:v>
      </x:c>
      <x:c r="L18" s="22" t="n">
        <x:v>4068.456588559479</x:v>
      </x:c>
      <x:c r="M18" s="24" t="n">
        <x:v>0.5415026086607861</x:v>
      </x:c>
    </x:row>
    <x:row r="19">
      <x:c r="A19" t="n">
        <x:v>10016</x:v>
      </x:c>
      <x:c r="B19" s="20" t="n">
        <x:v>46041</x:v>
      </x:c>
      <x:c r="C19" t="str">
        <x:v>Customer 19</x:v>
      </x:c>
      <x:c r="D19" t="str">
        <x:v>SMB</x:v>
      </x:c>
      <x:c r="E19" t="str">
        <x:v>Northeast</x:v>
      </x:c>
      <x:c r="F19" t="str">
        <x:v>Reporting Suite</x:v>
      </x:c>
      <x:c r="G19" t="n">
        <x:v>27</x:v>
      </x:c>
      <x:c r="H19" s="22" t="n">
        <x:v>329.0827974007284</x:v>
      </x:c>
      <x:c r="I19" s="24" t="n">
        <x:v>0.08</x:v>
      </x:c>
      <x:c r="J19" s="22" t="n">
        <x:v>8174.4166874340945</x:v>
      </x:c>
      <x:c r="K19" s="22" t="n">
        <x:v>3318.6558886822822</x:v>
      </x:c>
      <x:c r="L19" s="22" t="n">
        <x:v>4855.760798751812</x:v>
      </x:c>
      <x:c r="M19" s="24" t="n">
        <x:v>0.5940192413014866</x:v>
      </x:c>
    </x:row>
    <x:row r="20">
      <x:c r="A20" t="n">
        <x:v>10017</x:v>
      </x:c>
      <x:c r="B20" s="20" t="n">
        <x:v>46044</x:v>
      </x:c>
      <x:c r="C20" t="str">
        <x:v>Customer 26</x:v>
      </x:c>
      <x:c r="D20" t="str">
        <x:v>Enterprise</x:v>
      </x:c>
      <x:c r="E20" t="str">
        <x:v>Midwest</x:v>
      </x:c>
      <x:c r="F20" t="str">
        <x:v>Finance Cloud</x:v>
      </x:c>
      <x:c r="G20" t="n">
        <x:v>38</x:v>
      </x:c>
      <x:c r="H20" s="22" t="n">
        <x:v>621.5167915079326</x:v>
      </x:c>
      <x:c r="I20" s="24" t="n">
        <x:v>0</x:v>
      </x:c>
      <x:c r="J20" s="22" t="n">
        <x:v>23617.63807730144</x:v>
      </x:c>
      <x:c r="K20" s="22" t="n">
        <x:v>7917.867250717218</x:v>
      </x:c>
      <x:c r="L20" s="22" t="n">
        <x:v>15699.770826584221</x:v>
      </x:c>
      <x:c r="M20" s="24" t="n">
        <x:v>0.6647477099614393</x:v>
      </x:c>
    </x:row>
    <x:row r="21">
      <x:c r="A21" t="n">
        <x:v>10018</x:v>
      </x:c>
      <x:c r="B21" s="20" t="n">
        <x:v>46047</x:v>
      </x:c>
      <x:c r="C21" t="str">
        <x:v>Customer 03</x:v>
      </x:c>
      <x:c r="D21" t="str">
        <x:v>Mid-Market</x:v>
      </x:c>
      <x:c r="E21" t="str">
        <x:v>South</x:v>
      </x:c>
      <x:c r="F21" t="str">
        <x:v>Analytics Pro</x:v>
      </x:c>
      <x:c r="G21" t="n">
        <x:v>40</x:v>
      </x:c>
      <x:c r="H21" s="22" t="n">
        <x:v>419.1688923185846</x:v>
      </x:c>
      <x:c r="I21" s="24" t="n">
        <x:v>0</x:v>
      </x:c>
      <x:c r="J21" s="22" t="n">
        <x:v>16766.755692743383</x:v>
      </x:c>
      <x:c r="K21" s="22" t="n">
        <x:v>6129.073160612513</x:v>
      </x:c>
      <x:c r="L21" s="22" t="n">
        <x:v>10637.682532130872</x:v>
      </x:c>
      <x:c r="M21" s="24" t="n">
        <x:v>0.6344508578206837</x:v>
      </x:c>
    </x:row>
    <x:row r="22">
      <x:c r="A22" t="n">
        <x:v>10019</x:v>
      </x:c>
      <x:c r="B22" s="20" t="n">
        <x:v>46023</x:v>
      </x:c>
      <x:c r="C22" t="str">
        <x:v>Customer 10</x:v>
      </x:c>
      <x:c r="D22" t="str">
        <x:v>SMB</x:v>
      </x:c>
      <x:c r="E22" t="str">
        <x:v>West</x:v>
      </x:c>
      <x:c r="F22" t="str">
        <x:v>Data Connect</x:v>
      </x:c>
      <x:c r="G22" t="n">
        <x:v>31</x:v>
      </x:c>
      <x:c r="H22" s="22" t="n">
        <x:v>237.00935019666613</x:v>
      </x:c>
      <x:c r="I22" s="24" t="n">
        <x:v>0.05</x:v>
      </x:c>
      <x:c r="J22" s="22" t="n">
        <x:v>6979.925363291818</x:v>
      </x:c>
      <x:c r="K22" s="22" t="n">
        <x:v>3244.140843701893</x:v>
      </x:c>
      <x:c r="L22" s="22" t="n">
        <x:v>3735.784519589925</x:v>
      </x:c>
      <x:c r="M22" s="24" t="n">
        <x:v>0.5352184049469668</x:v>
      </x:c>
    </x:row>
    <x:row r="23">
      <x:c r="A23" t="n">
        <x:v>10020</x:v>
      </x:c>
      <x:c r="B23" s="20" t="n">
        <x:v>46026</x:v>
      </x:c>
      <x:c r="C23" t="str">
        <x:v>Customer 17</x:v>
      </x:c>
      <x:c r="D23" t="str">
        <x:v>Enterprise</x:v>
      </x:c>
      <x:c r="E23" t="str">
        <x:v>Northeast</x:v>
      </x:c>
      <x:c r="F23" t="str">
        <x:v>Reporting Suite</x:v>
      </x:c>
      <x:c r="G23" t="n">
        <x:v>39</x:v>
      </x:c>
      <x:c r="H23" s="22" t="n">
        <x:v>328.6753820417317</x:v>
      </x:c>
      <x:c r="I23" s="24" t="n">
        <x:v>0.05</x:v>
      </x:c>
      <x:c r="J23" s="22" t="n">
        <x:v>12177.42290464616</x:v>
      </x:c>
      <x:c r="K23" s="22" t="n">
        <x:v>4897.072436228853</x:v>
      </x:c>
      <x:c r="L23" s="22" t="n">
        <x:v>7280.350468417308</x:v>
      </x:c>
      <x:c r="M23" s="24" t="n">
        <x:v>0.5978564204778969</x:v>
      </x:c>
    </x:row>
    <x:row r="24">
      <x:c r="A24" t="n">
        <x:v>10021</x:v>
      </x:c>
      <x:c r="B24" s="20" t="n">
        <x:v>46029</x:v>
      </x:c>
      <x:c r="C24" t="str">
        <x:v>Customer 24</x:v>
      </x:c>
      <x:c r="D24" t="str">
        <x:v>Mid-Market</x:v>
      </x:c>
      <x:c r="E24" t="str">
        <x:v>Midwest</x:v>
      </x:c>
      <x:c r="F24" t="str">
        <x:v>Finance Cloud</x:v>
      </x:c>
      <x:c r="G24" t="n">
        <x:v>36</x:v>
      </x:c>
      <x:c r="H24" s="22" t="n">
        <x:v>659.570630879989</x:v>
      </x:c>
      <x:c r="I24" s="24" t="n">
        <x:v>0.08</x:v>
      </x:c>
      <x:c r="J24" s="22" t="n">
        <x:v>21844.979294745237</x:v>
      </x:c>
      <x:c r="K24" s="22" t="n">
        <x:v>6912.225296270773</x:v>
      </x:c>
      <x:c r="L24" s="22" t="n">
        <x:v>14932.753998474465</x:v>
      </x:c>
      <x:c r="M24" s="24" t="n">
        <x:v>0.683578308635271</x:v>
      </x:c>
    </x:row>
    <x:row r="25">
      <x:c r="A25" t="n">
        <x:v>10022</x:v>
      </x:c>
      <x:c r="B25" s="20" t="n">
        <x:v>46032</x:v>
      </x:c>
      <x:c r="C25" t="str">
        <x:v>Customer 01</x:v>
      </x:c>
      <x:c r="D25" t="str">
        <x:v>SMB</x:v>
      </x:c>
      <x:c r="E25" t="str">
        <x:v>South</x:v>
      </x:c>
      <x:c r="F25" t="str">
        <x:v>Analytics Pro</x:v>
      </x:c>
      <x:c r="G25" t="n">
        <x:v>26</x:v>
      </x:c>
      <x:c r="H25" s="22" t="n">
        <x:v>428.45216001143365</x:v>
      </x:c>
      <x:c r="I25" s="24" t="n">
        <x:v>0.03</x:v>
      </x:c>
      <x:c r="J25" s="22" t="n">
        <x:v>10805.563475488356</x:v>
      </x:c>
      <x:c r="K25" s="22" t="n">
        <x:v>3954.4692530266825</x:v>
      </x:c>
      <x:c r="L25" s="22" t="n">
        <x:v>6851.094222461674</x:v>
      </x:c>
      <x:c r="M25" s="24" t="n">
        <x:v>0.6340339620421358</x:v>
      </x:c>
    </x:row>
    <x:row r="26">
      <x:c r="A26" t="n">
        <x:v>10023</x:v>
      </x:c>
      <x:c r="B26" s="20" t="n">
        <x:v>46035</x:v>
      </x:c>
      <x:c r="C26" t="str">
        <x:v>Customer 08</x:v>
      </x:c>
      <x:c r="D26" t="str">
        <x:v>Enterprise</x:v>
      </x:c>
      <x:c r="E26" t="str">
        <x:v>West</x:v>
      </x:c>
      <x:c r="F26" t="str">
        <x:v>Data Connect</x:v>
      </x:c>
      <x:c r="G26" t="n">
        <x:v>54</x:v>
      </x:c>
      <x:c r="H26" s="22" t="n">
        <x:v>230.50037298131133</x:v>
      </x:c>
      <x:c r="I26" s="24" t="n">
        <x:v>0</x:v>
      </x:c>
      <x:c r="J26" s="22" t="n">
        <x:v>12447.020140990811</x:v>
      </x:c>
      <x:c r="K26" s="22" t="n">
        <x:v>6074.83222574525</x:v>
      </x:c>
      <x:c r="L26" s="22" t="n">
        <x:v>6372.187915245561</x:v>
      </x:c>
      <x:c r="M26" s="24" t="n">
        <x:v>0.5119448545166667</x:v>
      </x:c>
    </x:row>
    <x:row r="27">
      <x:c r="A27" t="n">
        <x:v>10024</x:v>
      </x:c>
      <x:c r="B27" s="20" t="n">
        <x:v>46038</x:v>
      </x:c>
      <x:c r="C27" t="str">
        <x:v>Customer 15</x:v>
      </x:c>
      <x:c r="D27" t="str">
        <x:v>Mid-Market</x:v>
      </x:c>
      <x:c r="E27" t="str">
        <x:v>Northeast</x:v>
      </x:c>
      <x:c r="F27" t="str">
        <x:v>Reporting Suite</x:v>
      </x:c>
      <x:c r="G27" t="n">
        <x:v>27</x:v>
      </x:c>
      <x:c r="H27" s="22" t="n">
        <x:v>300.0565540505529</x:v>
      </x:c>
      <x:c r="I27" s="24" t="n">
        <x:v>0.02</x:v>
      </x:c>
      <x:c r="J27" s="22" t="n">
        <x:v>7939.496420177629</x:v>
      </x:c>
      <x:c r="K27" s="22" t="n">
        <x:v>3450.5366498629796</x:v>
      </x:c>
      <x:c r="L27" s="22" t="n">
        <x:v>4488.95977031465</x:v>
      </x:c>
      <x:c r="M27" s="24" t="n">
        <x:v>0.5653960317818518</x:v>
      </x:c>
    </x:row>
    <x:row r="28">
      <x:c r="A28" t="n">
        <x:v>10025</x:v>
      </x:c>
      <x:c r="B28" s="20" t="n">
        <x:v>46041</x:v>
      </x:c>
      <x:c r="C28" t="str">
        <x:v>Customer 22</x:v>
      </x:c>
      <x:c r="D28" t="str">
        <x:v>SMB</x:v>
      </x:c>
      <x:c r="E28" t="str">
        <x:v>Midwest</x:v>
      </x:c>
      <x:c r="F28" t="str">
        <x:v>Finance Cloud</x:v>
      </x:c>
      <x:c r="G28" t="n">
        <x:v>13</x:v>
      </x:c>
      <x:c r="H28" s="22" t="n">
        <x:v>647.1739673909849</x:v>
      </x:c>
      <x:c r="I28" s="24" t="n">
        <x:v>0.05</x:v>
      </x:c>
      <x:c r="J28" s="22" t="n">
        <x:v>7992.598497278663</x:v>
      </x:c>
      <x:c r="K28" s="22" t="n">
        <x:v>2569.266482673603</x:v>
      </x:c>
      <x:c r="L28" s="22" t="n">
        <x:v>5423.332014605059</x:v>
      </x:c>
      <x:c r="M28" s="24" t="n">
        <x:v>0.6785442827450431</x:v>
      </x:c>
    </x:row>
    <x:row r="29">
      <x:c r="A29" t="n">
        <x:v>10026</x:v>
      </x:c>
      <x:c r="B29" s="20" t="n">
        <x:v>46044</x:v>
      </x:c>
      <x:c r="C29" t="str">
        <x:v>Customer 29</x:v>
      </x:c>
      <x:c r="D29" t="str">
        <x:v>Enterprise</x:v>
      </x:c>
      <x:c r="E29" t="str">
        <x:v>South</x:v>
      </x:c>
      <x:c r="F29" t="str">
        <x:v>Analytics Pro</x:v>
      </x:c>
      <x:c r="G29" t="n">
        <x:v>46</x:v>
      </x:c>
      <x:c r="H29" s="22" t="n">
        <x:v>448.17977373404364</x:v>
      </x:c>
      <x:c r="I29" s="24" t="n">
        <x:v>0</x:v>
      </x:c>
      <x:c r="J29" s="22" t="n">
        <x:v>20616.269591766006</x:v>
      </x:c>
      <x:c r="K29" s="22" t="n">
        <x:v>8020.021014309649</x:v>
      </x:c>
      <x:c r="L29" s="22" t="n">
        <x:v>12596.248577456357</x:v>
      </x:c>
      <x:c r="M29" s="24" t="n">
        <x:v>0.6109858294871741</x:v>
      </x:c>
    </x:row>
    <x:row r="30">
      <x:c r="A30" t="n">
        <x:v>10027</x:v>
      </x:c>
      <x:c r="B30" s="20" t="n">
        <x:v>46047</x:v>
      </x:c>
      <x:c r="C30" t="str">
        <x:v>Customer 06</x:v>
      </x:c>
      <x:c r="D30" t="str">
        <x:v>Mid-Market</x:v>
      </x:c>
      <x:c r="E30" t="str">
        <x:v>West</x:v>
      </x:c>
      <x:c r="F30" t="str">
        <x:v>Data Connect</x:v>
      </x:c>
      <x:c r="G30" t="n">
        <x:v>40</x:v>
      </x:c>
      <x:c r="H30" s="22" t="n">
        <x:v>249.69753343452072</x:v>
      </x:c>
      <x:c r="I30" s="24" t="n">
        <x:v>0.03</x:v>
      </x:c>
      <x:c r="J30" s="22" t="n">
        <x:v>9688.264297259404</x:v>
      </x:c>
      <x:c r="K30" s="22" t="n">
        <x:v>4365.3149593169655</x:v>
      </x:c>
      <x:c r="L30" s="22" t="n">
        <x:v>5322.949337942438</x:v>
      </x:c>
      <x:c r="M30" s="24" t="n">
        <x:v>0.5494223913202062</x:v>
      </x:c>
    </x:row>
    <x:row r="31">
      <x:c r="A31" t="n">
        <x:v>10028</x:v>
      </x:c>
      <x:c r="B31" s="20" t="n">
        <x:v>46023</x:v>
      </x:c>
      <x:c r="C31" t="str">
        <x:v>Customer 13</x:v>
      </x:c>
      <x:c r="D31" t="str">
        <x:v>SMB</x:v>
      </x:c>
      <x:c r="E31" t="str">
        <x:v>Northeast</x:v>
      </x:c>
      <x:c r="F31" t="str">
        <x:v>Reporting Suite</x:v>
      </x:c>
      <x:c r="G31" t="n">
        <x:v>26</x:v>
      </x:c>
      <x:c r="H31" s="22" t="n">
        <x:v>310.64899999813963</x:v>
      </x:c>
      <x:c r="I31" s="24" t="n">
        <x:v>0.05</x:v>
      </x:c>
      <x:c r="J31" s="22" t="n">
        <x:v>7673.030299954048</x:v>
      </x:c>
      <x:c r="K31" s="22" t="n">
        <x:v>3032.0920389209236</x:v>
      </x:c>
      <x:c r="L31" s="22" t="n">
        <x:v>4640.938261033125</x:v>
      </x:c>
      <x:c r="M31" s="24" t="n">
        <x:v>0.6048377341949136</x:v>
      </x:c>
    </x:row>
    <x:row r="32">
      <x:c r="A32" t="n">
        <x:v>10029</x:v>
      </x:c>
      <x:c r="B32" s="20" t="n">
        <x:v>46026</x:v>
      </x:c>
      <x:c r="C32" t="str">
        <x:v>Customer 20</x:v>
      </x:c>
      <x:c r="D32" t="str">
        <x:v>Enterprise</x:v>
      </x:c>
      <x:c r="E32" t="str">
        <x:v>Midwest</x:v>
      </x:c>
      <x:c r="F32" t="str">
        <x:v>Finance Cloud</x:v>
      </x:c>
      <x:c r="G32" t="n">
        <x:v>42</x:v>
      </x:c>
      <x:c r="H32" s="22" t="n">
        <x:v>693.6753444289876</x:v>
      </x:c>
      <x:c r="I32" s="24" t="n">
        <x:v>0.02</x:v>
      </x:c>
      <x:c r="J32" s="22" t="n">
        <x:v>28551.67717669713</x:v>
      </x:c>
      <x:c r="K32" s="22" t="n">
        <x:v>9147.502931217037</x:v>
      </x:c>
      <x:c r="L32" s="22" t="n">
        <x:v>19404.17424548009</x:v>
      </x:c>
      <x:c r="M32" s="24" t="n">
        <x:v>0.6796159162697838</x:v>
      </x:c>
    </x:row>
    <x:row r="33">
      <x:c r="A33" t="n">
        <x:v>10030</x:v>
      </x:c>
      <x:c r="B33" s="20" t="n">
        <x:v>46029</x:v>
      </x:c>
      <x:c r="C33" t="str">
        <x:v>Customer 27</x:v>
      </x:c>
      <x:c r="D33" t="str">
        <x:v>Mid-Market</x:v>
      </x:c>
      <x:c r="E33" t="str">
        <x:v>South</x:v>
      </x:c>
      <x:c r="F33" t="str">
        <x:v>Analytics Pro</x:v>
      </x:c>
      <x:c r="G33" t="n">
        <x:v>15</x:v>
      </x:c>
      <x:c r="H33" s="22" t="n">
        <x:v>404.16473652369433</x:v>
      </x:c>
      <x:c r="I33" s="24" t="n">
        <x:v>0.03</x:v>
      </x:c>
      <x:c r="J33" s="22" t="n">
        <x:v>5880.596916419752</x:v>
      </x:c>
      <x:c r="K33" s="22" t="n">
        <x:v>2335.0878140044138</x:v>
      </x:c>
      <x:c r="L33" s="22" t="n">
        <x:v>3545.5091024153385</x:v>
      </x:c>
      <x:c r="M33" s="24" t="n">
        <x:v>0.6029165325913767</x:v>
      </x:c>
    </x:row>
    <x:row r="34">
      <x:c r="A34" t="n">
        <x:v>10031</x:v>
      </x:c>
      <x:c r="B34" s="20" t="n">
        <x:v>46032</x:v>
      </x:c>
      <x:c r="C34" t="str">
        <x:v>Customer 04</x:v>
      </x:c>
      <x:c r="D34" t="str">
        <x:v>SMB</x:v>
      </x:c>
      <x:c r="E34" t="str">
        <x:v>West</x:v>
      </x:c>
      <x:c r="F34" t="str">
        <x:v>Data Connect</x:v>
      </x:c>
      <x:c r="G34" t="n">
        <x:v>10</x:v>
      </x:c>
      <x:c r="H34" s="22" t="n">
        <x:v>238.7324061441713</x:v>
      </x:c>
      <x:c r="I34" s="24" t="n">
        <x:v>0.02</x:v>
      </x:c>
      <x:c r="J34" s="22" t="n">
        <x:v>2339.5775802128787</x:v>
      </x:c>
      <x:c r="K34" s="22" t="n">
        <x:v>1104.2079774999731</x:v>
      </x:c>
      <x:c r="L34" s="22" t="n">
        <x:v>1235.3696027129056</x:v>
      </x:c>
      <x:c r="M34" s="24" t="n">
        <x:v>0.5280310484940187</x:v>
      </x:c>
    </x:row>
    <x:row r="35">
      <x:c r="A35" t="n">
        <x:v>10032</x:v>
      </x:c>
      <x:c r="B35" s="20" t="n">
        <x:v>46035</x:v>
      </x:c>
      <x:c r="C35" t="str">
        <x:v>Customer 11</x:v>
      </x:c>
      <x:c r="D35" t="str">
        <x:v>Enterprise</x:v>
      </x:c>
      <x:c r="E35" t="str">
        <x:v>Northeast</x:v>
      </x:c>
      <x:c r="F35" t="str">
        <x:v>Reporting Suite</x:v>
      </x:c>
      <x:c r="G35" t="n">
        <x:v>44</x:v>
      </x:c>
      <x:c r="H35" s="22" t="n">
        <x:v>323.5685540551073</x:v>
      </x:c>
      <x:c r="I35" s="24" t="n">
        <x:v>0.08</x:v>
      </x:c>
      <x:c r="J35" s="22" t="n">
        <x:v>13098.055068150745</x:v>
      </x:c>
      <x:c r="K35" s="22" t="n">
        <x:v>5775.255670386199</x:v>
      </x:c>
      <x:c r="L35" s="22" t="n">
        <x:v>7322.799397764546</x:v>
      </x:c>
      <x:c r="M35" s="24" t="n">
        <x:v>0.559075325280215</x:v>
      </x:c>
    </x:row>
    <x:row r="36">
      <x:c r="A36" t="n">
        <x:v>10033</x:v>
      </x:c>
      <x:c r="B36" s="20" t="n">
        <x:v>46038</x:v>
      </x:c>
      <x:c r="C36" t="str">
        <x:v>Customer 18</x:v>
      </x:c>
      <x:c r="D36" t="str">
        <x:v>Mid-Market</x:v>
      </x:c>
      <x:c r="E36" t="str">
        <x:v>Midwest</x:v>
      </x:c>
      <x:c r="F36" t="str">
        <x:v>Finance Cloud</x:v>
      </x:c>
      <x:c r="G36" t="n">
        <x:v>20</x:v>
      </x:c>
      <x:c r="H36" s="22" t="n">
        <x:v>625.9229394007801</x:v>
      </x:c>
      <x:c r="I36" s="24" t="n">
        <x:v>0.03</x:v>
      </x:c>
      <x:c r="J36" s="22" t="n">
        <x:v>12142.905024375135</x:v>
      </x:c>
      <x:c r="K36" s="22" t="n">
        <x:v>4115.66879745304</x:v>
      </x:c>
      <x:c r="L36" s="22" t="n">
        <x:v>8027.236226922096</x:v>
      </x:c>
      <x:c r="M36" s="24" t="n">
        <x:v>0.6610639061088408</x:v>
      </x:c>
    </x:row>
    <x:row r="37">
      <x:c r="A37" t="n">
        <x:v>10034</x:v>
      </x:c>
      <x:c r="B37" s="20" t="n">
        <x:v>46041</x:v>
      </x:c>
      <x:c r="C37" t="str">
        <x:v>Customer 25</x:v>
      </x:c>
      <x:c r="D37" t="str">
        <x:v>SMB</x:v>
      </x:c>
      <x:c r="E37" t="str">
        <x:v>South</x:v>
      </x:c>
      <x:c r="F37" t="str">
        <x:v>Analytics Pro</x:v>
      </x:c>
      <x:c r="G37" t="n">
        <x:v>10</x:v>
      </x:c>
      <x:c r="H37" s="22" t="n">
        <x:v>441.08310210660153</x:v>
      </x:c>
      <x:c r="I37" s="24" t="n">
        <x:v>0.03</x:v>
      </x:c>
      <x:c r="J37" s="22" t="n">
        <x:v>4278.506090434035</x:v>
      </x:c>
      <x:c r="K37" s="22" t="n">
        <x:v>1570.0945705115769</x:v>
      </x:c>
      <x:c r="L37" s="22" t="n">
        <x:v>2708.4115199224584</x:v>
      </x:c>
      <x:c r="M37" s="24" t="n">
        <x:v>0.633027384483097</x:v>
      </x:c>
    </x:row>
    <x:row r="38">
      <x:c r="A38" t="n">
        <x:v>10035</x:v>
      </x:c>
      <x:c r="B38" s="20" t="n">
        <x:v>46044</x:v>
      </x:c>
      <x:c r="C38" t="str">
        <x:v>Customer 02</x:v>
      </x:c>
      <x:c r="D38" t="str">
        <x:v>Enterprise</x:v>
      </x:c>
      <x:c r="E38" t="str">
        <x:v>West</x:v>
      </x:c>
      <x:c r="F38" t="str">
        <x:v>Data Connect</x:v>
      </x:c>
      <x:c r="G38" t="n">
        <x:v>45</x:v>
      </x:c>
      <x:c r="H38" s="22" t="n">
        <x:v>230.14688502069927</x:v>
      </x:c>
      <x:c r="I38" s="24" t="n">
        <x:v>0.05</x:v>
      </x:c>
      <x:c r="J38" s="22" t="n">
        <x:v>9838.779334634894</x:v>
      </x:c>
      <x:c r="K38" s="22" t="n">
        <x:v>4779.690440029082</x:v>
      </x:c>
      <x:c r="L38" s="22" t="n">
        <x:v>5059.088894605811</x:v>
      </x:c>
      <x:c r="M38" s="24" t="n">
        <x:v>0.5141988373289956</x:v>
      </x:c>
    </x:row>
    <x:row r="39">
      <x:c r="A39" t="n">
        <x:v>10036</x:v>
      </x:c>
      <x:c r="B39" s="20" t="n">
        <x:v>46054</x:v>
      </x:c>
      <x:c r="C39" t="str">
        <x:v>Customer 07</x:v>
      </x:c>
      <x:c r="D39" t="str">
        <x:v>Mid-Market</x:v>
      </x:c>
      <x:c r="E39" t="str">
        <x:v>South</x:v>
      </x:c>
      <x:c r="F39" t="str">
        <x:v>Reporting Suite</x:v>
      </x:c>
      <x:c r="G39" t="n">
        <x:v>38</x:v>
      </x:c>
      <x:c r="H39" s="22" t="n">
        <x:v>334.33664362809276</x:v>
      </x:c>
      <x:c r="I39" s="24" t="n">
        <x:v>0.08</x:v>
      </x:c>
      <x:c r="J39" s="22" t="n">
        <x:v>11688.409061238122</x:v>
      </x:c>
      <x:c r="K39" s="22" t="n">
        <x:v>5064.490883335055</x:v>
      </x:c>
      <x:c r="L39" s="22" t="n">
        <x:v>6623.918177903068</x:v>
      </x:c>
      <x:c r="M39" s="24" t="n">
        <x:v>0.5667082785346506</x:v>
      </x:c>
    </x:row>
    <x:row r="40">
      <x:c r="A40" t="n">
        <x:v>10037</x:v>
      </x:c>
      <x:c r="B40" s="20" t="n">
        <x:v>46057</x:v>
      </x:c>
      <x:c r="C40" t="str">
        <x:v>Customer 14</x:v>
      </x:c>
      <x:c r="D40" t="str">
        <x:v>SMB</x:v>
      </x:c>
      <x:c r="E40" t="str">
        <x:v>West</x:v>
      </x:c>
      <x:c r="F40" t="str">
        <x:v>Finance Cloud</x:v>
      </x:c>
      <x:c r="G40" t="n">
        <x:v>22</x:v>
      </x:c>
      <x:c r="H40" s="22" t="n">
        <x:v>666.9623738984577</x:v>
      </x:c>
      <x:c r="I40" s="24" t="n">
        <x:v>0.03</x:v>
      </x:c>
      <x:c r="J40" s="22" t="n">
        <x:v>14232.977058993087</x:v>
      </x:c>
      <x:c r="K40" s="22" t="n">
        <x:v>4574.246677950761</x:v>
      </x:c>
      <x:c r="L40" s="22" t="n">
        <x:v>9658.730381042325</x:v>
      </x:c>
      <x:c r="M40" s="24" t="n">
        <x:v>0.6786163106290872</x:v>
      </x:c>
    </x:row>
    <x:row r="41">
      <x:c r="A41" t="n">
        <x:v>10038</x:v>
      </x:c>
      <x:c r="B41" s="20" t="n">
        <x:v>46060</x:v>
      </x:c>
      <x:c r="C41" t="str">
        <x:v>Customer 21</x:v>
      </x:c>
      <x:c r="D41" t="str">
        <x:v>Enterprise</x:v>
      </x:c>
      <x:c r="E41" t="str">
        <x:v>Northeast</x:v>
      </x:c>
      <x:c r="F41" t="str">
        <x:v>Analytics Pro</x:v>
      </x:c>
      <x:c r="G41" t="n">
        <x:v>51</x:v>
      </x:c>
      <x:c r="H41" s="22" t="n">
        <x:v>433.8797801099471</x:v>
      </x:c>
      <x:c r="I41" s="24" t="n">
        <x:v>0.02</x:v>
      </x:c>
      <x:c r="J41" s="22" t="n">
        <x:v>21685.311409895156</x:v>
      </x:c>
      <x:c r="K41" s="22" t="n">
        <x:v>8705.474468943063</x:v>
      </x:c>
      <x:c r="L41" s="22" t="n">
        <x:v>12979.836940952093</x:v>
      </x:c>
      <x:c r="M41" s="24" t="n">
        <x:v>0.5985543253498912</x:v>
      </x:c>
    </x:row>
    <x:row r="42">
      <x:c r="A42" t="n">
        <x:v>10039</x:v>
      </x:c>
      <x:c r="B42" s="20" t="n">
        <x:v>46063</x:v>
      </x:c>
      <x:c r="C42" t="str">
        <x:v>Customer 28</x:v>
      </x:c>
      <x:c r="D42" t="str">
        <x:v>Mid-Market</x:v>
      </x:c>
      <x:c r="E42" t="str">
        <x:v>Midwest</x:v>
      </x:c>
      <x:c r="F42" t="str">
        <x:v>Data Connect</x:v>
      </x:c>
      <x:c r="G42" t="n">
        <x:v>28</x:v>
      </x:c>
      <x:c r="H42" s="22" t="n">
        <x:v>251.05558902553452</x:v>
      </x:c>
      <x:c r="I42" s="24" t="n">
        <x:v>0.05</x:v>
      </x:c>
      <x:c r="J42" s="22" t="n">
        <x:v>6678.078668079218</x:v>
      </x:c>
      <x:c r="K42" s="22" t="n">
        <x:v>3304.0292918087457</x:v>
      </x:c>
      <x:c r="L42" s="22" t="n">
        <x:v>3374.0493762704723</x:v>
      </x:c>
      <x:c r="M42" s="24" t="n">
        <x:v>0.5052425321669552</x:v>
      </x:c>
    </x:row>
    <x:row r="43">
      <x:c r="A43" t="n">
        <x:v>10040</x:v>
      </x:c>
      <x:c r="B43" s="20" t="n">
        <x:v>46066</x:v>
      </x:c>
      <x:c r="C43" t="str">
        <x:v>Customer 05</x:v>
      </x:c>
      <x:c r="D43" t="str">
        <x:v>SMB</x:v>
      </x:c>
      <x:c r="E43" t="str">
        <x:v>South</x:v>
      </x:c>
      <x:c r="F43" t="str">
        <x:v>Reporting Suite</x:v>
      </x:c>
      <x:c r="G43" t="n">
        <x:v>4</x:v>
      </x:c>
      <x:c r="H43" s="22" t="n">
        <x:v>321.88697301907143</x:v>
      </x:c>
      <x:c r="I43" s="24" t="n">
        <x:v>0.05</x:v>
      </x:c>
      <x:c r="J43" s="22" t="n">
        <x:v>1223.1704974724714</x:v>
      </x:c>
      <x:c r="K43" s="22" t="n">
        <x:v>538.1714168739238</x:v>
      </x:c>
      <x:c r="L43" s="22" t="n">
        <x:v>684.9990805985476</x:v>
      </x:c>
      <x:c r="M43" s="24" t="n">
        <x:v>0.5600192957678528</x:v>
      </x:c>
    </x:row>
    <x:row r="44">
      <x:c r="A44" t="n">
        <x:v>10041</x:v>
      </x:c>
      <x:c r="B44" s="20" t="n">
        <x:v>46069</x:v>
      </x:c>
      <x:c r="C44" t="str">
        <x:v>Customer 12</x:v>
      </x:c>
      <x:c r="D44" t="str">
        <x:v>Enterprise</x:v>
      </x:c>
      <x:c r="E44" t="str">
        <x:v>West</x:v>
      </x:c>
      <x:c r="F44" t="str">
        <x:v>Finance Cloud</x:v>
      </x:c>
      <x:c r="G44" t="n">
        <x:v>39</x:v>
      </x:c>
      <x:c r="H44" s="22" t="n">
        <x:v>628.3139003117241</x:v>
      </x:c>
      <x:c r="I44" s="24" t="n">
        <x:v>0</x:v>
      </x:c>
      <x:c r="J44" s="22" t="n">
        <x:v>24504.242112157237</x:v>
      </x:c>
      <x:c r="K44" s="22" t="n">
        <x:v>7949.554386774834</x:v>
      </x:c>
      <x:c r="L44" s="22" t="n">
        <x:v>16554.687725382402</x:v>
      </x:c>
      <x:c r="M44" s="24" t="n">
        <x:v>0.6755845640771383</x:v>
      </x:c>
    </x:row>
    <x:row r="45">
      <x:c r="A45" t="n">
        <x:v>10042</x:v>
      </x:c>
      <x:c r="B45" s="20" t="n">
        <x:v>46072</x:v>
      </x:c>
      <x:c r="C45" t="str">
        <x:v>Customer 19</x:v>
      </x:c>
      <x:c r="D45" t="str">
        <x:v>Mid-Market</x:v>
      </x:c>
      <x:c r="E45" t="str">
        <x:v>Northeast</x:v>
      </x:c>
      <x:c r="F45" t="str">
        <x:v>Analytics Pro</x:v>
      </x:c>
      <x:c r="G45" t="n">
        <x:v>29</x:v>
      </x:c>
      <x:c r="H45" s="22" t="n">
        <x:v>414.5257381733249</x:v>
      </x:c>
      <x:c r="I45" s="24" t="n">
        <x:v>0.02</x:v>
      </x:c>
      <x:c r="J45" s="22" t="n">
        <x:v>11780.821478885893</x:v>
      </x:c>
      <x:c r="K45" s="22" t="n">
        <x:v>4186.427324522832</x:v>
      </x:c>
      <x:c r="L45" s="22" t="n">
        <x:v>7594.394154363061</x:v>
      </x:c>
      <x:c r="M45" s="24" t="n">
        <x:v>0.6446404580507453</x:v>
      </x:c>
    </x:row>
    <x:row r="46">
      <x:c r="A46" t="n">
        <x:v>10043</x:v>
      </x:c>
      <x:c r="B46" s="20" t="n">
        <x:v>46075</x:v>
      </x:c>
      <x:c r="C46" t="str">
        <x:v>Customer 26</x:v>
      </x:c>
      <x:c r="D46" t="str">
        <x:v>SMB</x:v>
      </x:c>
      <x:c r="E46" t="str">
        <x:v>Midwest</x:v>
      </x:c>
      <x:c r="F46" t="str">
        <x:v>Data Connect</x:v>
      </x:c>
      <x:c r="G46" t="n">
        <x:v>15</x:v>
      </x:c>
      <x:c r="H46" s="22" t="n">
        <x:v>232.09195203856842</x:v>
      </x:c>
      <x:c r="I46" s="24" t="n">
        <x:v>0</x:v>
      </x:c>
      <x:c r="J46" s="22" t="n">
        <x:v>3481.3792805785265</x:v>
      </x:c>
      <x:c r="K46" s="22" t="n">
        <x:v>1698.8496234222052</x:v>
      </x:c>
      <x:c r="L46" s="22" t="n">
        <x:v>1782.5296571563213</x:v>
      </x:c>
      <x:c r="M46" s="24" t="n">
        <x:v>0.5120182299873127</x:v>
      </x:c>
    </x:row>
    <x:row r="47">
      <x:c r="A47" t="n">
        <x:v>10044</x:v>
      </x:c>
      <x:c r="B47" s="20" t="n">
        <x:v>46078</x:v>
      </x:c>
      <x:c r="C47" t="str">
        <x:v>Customer 03</x:v>
      </x:c>
      <x:c r="D47" t="str">
        <x:v>Enterprise</x:v>
      </x:c>
      <x:c r="E47" t="str">
        <x:v>South</x:v>
      </x:c>
      <x:c r="F47" t="str">
        <x:v>Reporting Suite</x:v>
      </x:c>
      <x:c r="G47" t="n">
        <x:v>42</x:v>
      </x:c>
      <x:c r="H47" s="22" t="n">
        <x:v>299.9166112841751</x:v>
      </x:c>
      <x:c r="I47" s="24" t="n">
        <x:v>0.02</x:v>
      </x:c>
      <x:c r="J47" s="22" t="n">
        <x:v>12344.567720456645</x:v>
      </x:c>
      <x:c r="K47" s="22" t="n">
        <x:v>5047.988321761266</x:v>
      </x:c>
      <x:c r="L47" s="22" t="n">
        <x:v>7296.5793986953795</x:v>
      </x:c>
      <x:c r="M47" s="24" t="n">
        <x:v>0.5910761368017727</x:v>
      </x:c>
    </x:row>
    <x:row r="48">
      <x:c r="A48" t="n">
        <x:v>10045</x:v>
      </x:c>
      <x:c r="B48" s="20" t="n">
        <x:v>46054</x:v>
      </x:c>
      <x:c r="C48" t="str">
        <x:v>Customer 10</x:v>
      </x:c>
      <x:c r="D48" t="str">
        <x:v>Mid-Market</x:v>
      </x:c>
      <x:c r="E48" t="str">
        <x:v>West</x:v>
      </x:c>
      <x:c r="F48" t="str">
        <x:v>Finance Cloud</x:v>
      </x:c>
      <x:c r="G48" t="n">
        <x:v>18</x:v>
      </x:c>
      <x:c r="H48" s="22" t="n">
        <x:v>680.76993014149</x:v>
      </x:c>
      <x:c r="I48" s="24" t="n">
        <x:v>0.08</x:v>
      </x:c>
      <x:c r="J48" s="22" t="n">
        <x:v>11273.550043143076</x:v>
      </x:c>
      <x:c r="K48" s="22" t="n">
        <x:v>3650.494806155737</x:v>
      </x:c>
      <x:c r="L48" s="22" t="n">
        <x:v>7623.0552369873385</x:v>
      </x:c>
      <x:c r="M48" s="24" t="n">
        <x:v>0.676189417513955</x:v>
      </x:c>
    </x:row>
    <x:row r="49">
      <x:c r="A49" t="n">
        <x:v>10046</x:v>
      </x:c>
      <x:c r="B49" s="20" t="n">
        <x:v>46057</x:v>
      </x:c>
      <x:c r="C49" t="str">
        <x:v>Customer 17</x:v>
      </x:c>
      <x:c r="D49" t="str">
        <x:v>SMB</x:v>
      </x:c>
      <x:c r="E49" t="str">
        <x:v>Northeast</x:v>
      </x:c>
      <x:c r="F49" t="str">
        <x:v>Analytics Pro</x:v>
      </x:c>
      <x:c r="G49" t="n">
        <x:v>16</x:v>
      </x:c>
      <x:c r="H49" s="22" t="n">
        <x:v>415.18800223707944</x:v>
      </x:c>
      <x:c r="I49" s="24" t="n">
        <x:v>0.05</x:v>
      </x:c>
      <x:c r="J49" s="22" t="n">
        <x:v>6310.857634003607</x:v>
      </x:c>
      <x:c r="K49" s="22" t="n">
        <x:v>2495.1543897108113</x:v>
      </x:c>
      <x:c r="L49" s="22" t="n">
        <x:v>3815.7032442927957</x:v>
      </x:c>
      <x:c r="M49" s="24" t="n">
        <x:v>0.6046251501116678</x:v>
      </x:c>
    </x:row>
    <x:row r="50">
      <x:c r="A50" t="n">
        <x:v>10047</x:v>
      </x:c>
      <x:c r="B50" s="20" t="n">
        <x:v>46060</x:v>
      </x:c>
      <x:c r="C50" t="str">
        <x:v>Customer 24</x:v>
      </x:c>
      <x:c r="D50" t="str">
        <x:v>Enterprise</x:v>
      </x:c>
      <x:c r="E50" t="str">
        <x:v>Midwest</x:v>
      </x:c>
      <x:c r="F50" t="str">
        <x:v>Data Connect</x:v>
      </x:c>
      <x:c r="G50" t="n">
        <x:v>46</x:v>
      </x:c>
      <x:c r="H50" s="22" t="n">
        <x:v>242.77455953436976</x:v>
      </x:c>
      <x:c r="I50" s="24" t="n">
        <x:v>0.05</x:v>
      </x:c>
      <x:c r="J50" s="22" t="n">
        <x:v>10609.248251651958</x:v>
      </x:c>
      <x:c r="K50" s="22" t="n">
        <x:v>4939.189777156662</x:v>
      </x:c>
      <x:c r="L50" s="22" t="n">
        <x:v>5670.058474495296</x:v>
      </x:c>
      <x:c r="M50" s="24" t="n">
        <x:v>0.5344448861975132</x:v>
      </x:c>
    </x:row>
    <x:row r="51">
      <x:c r="A51" t="n">
        <x:v>10048</x:v>
      </x:c>
      <x:c r="B51" s="20" t="n">
        <x:v>46063</x:v>
      </x:c>
      <x:c r="C51" t="str">
        <x:v>Customer 01</x:v>
      </x:c>
      <x:c r="D51" t="str">
        <x:v>Mid-Market</x:v>
      </x:c>
      <x:c r="E51" t="str">
        <x:v>South</x:v>
      </x:c>
      <x:c r="F51" t="str">
        <x:v>Reporting Suite</x:v>
      </x:c>
      <x:c r="G51" t="n">
        <x:v>31</x:v>
      </x:c>
      <x:c r="H51" s="22" t="n">
        <x:v>330.0054215801363</x:v>
      </x:c>
      <x:c r="I51" s="24" t="n">
        <x:v>0</x:v>
      </x:c>
      <x:c r="J51" s="22" t="n">
        <x:v>10230.168068984225</x:v>
      </x:c>
      <x:c r="K51" s="22" t="n">
        <x:v>4385.348011774066</x:v>
      </x:c>
      <x:c r="L51" s="22" t="n">
        <x:v>5844.820057210159</x:v>
      </x:c>
      <x:c r="M51" s="24" t="n">
        <x:v>0.571331772635335</x:v>
      </x:c>
    </x:row>
    <x:row r="52">
      <x:c r="A52" t="n">
        <x:v>10049</x:v>
      </x:c>
      <x:c r="B52" s="20" t="n">
        <x:v>46066</x:v>
      </x:c>
      <x:c r="C52" t="str">
        <x:v>Customer 08</x:v>
      </x:c>
      <x:c r="D52" t="str">
        <x:v>SMB</x:v>
      </x:c>
      <x:c r="E52" t="str">
        <x:v>West</x:v>
      </x:c>
      <x:c r="F52" t="str">
        <x:v>Finance Cloud</x:v>
      </x:c>
      <x:c r="G52" t="n">
        <x:v>19</x:v>
      </x:c>
      <x:c r="H52" s="22" t="n">
        <x:v>655.2525492040565</x:v>
      </x:c>
      <x:c r="I52" s="24" t="n">
        <x:v>0.03</x:v>
      </x:c>
      <x:c r="J52" s="22" t="n">
        <x:v>12076.304481830763</x:v>
      </x:c>
      <x:c r="K52" s="22" t="n">
        <x:v>4045.919768492039</x:v>
      </x:c>
      <x:c r="L52" s="22" t="n">
        <x:v>8030.3847133387235</x:v>
      </x:c>
      <x:c r="M52" s="24" t="n">
        <x:v>0.664970374456915</x:v>
      </x:c>
    </x:row>
    <x:row r="53">
      <x:c r="A53" t="n">
        <x:v>10050</x:v>
      </x:c>
      <x:c r="B53" s="20" t="n">
        <x:v>46069</x:v>
      </x:c>
      <x:c r="C53" t="str">
        <x:v>Customer 15</x:v>
      </x:c>
      <x:c r="D53" t="str">
        <x:v>Enterprise</x:v>
      </x:c>
      <x:c r="E53" t="str">
        <x:v>Northeast</x:v>
      </x:c>
      <x:c r="F53" t="str">
        <x:v>Analytics Pro</x:v>
      </x:c>
      <x:c r="G53" t="n">
        <x:v>44</x:v>
      </x:c>
      <x:c r="H53" s="22" t="n">
        <x:v>408.3133024096409</x:v>
      </x:c>
      <x:c r="I53" s="24" t="n">
        <x:v>0.02</x:v>
      </x:c>
      <x:c r="J53" s="22" t="n">
        <x:v>17606.469599903718</x:v>
      </x:c>
      <x:c r="K53" s="22" t="n">
        <x:v>6417.742076170521</x:v>
      </x:c>
      <x:c r="L53" s="22" t="n">
        <x:v>11188.727523733196</x:v>
      </x:c>
      <x:c r="M53" s="24" t="n">
        <x:v>0.6354895545779594</x:v>
      </x:c>
    </x:row>
    <x:row r="54">
      <x:c r="A54" t="n">
        <x:v>10051</x:v>
      </x:c>
      <x:c r="B54" s="20" t="n">
        <x:v>46072</x:v>
      </x:c>
      <x:c r="C54" t="str">
        <x:v>Customer 22</x:v>
      </x:c>
      <x:c r="D54" t="str">
        <x:v>Mid-Market</x:v>
      </x:c>
      <x:c r="E54" t="str">
        <x:v>Midwest</x:v>
      </x:c>
      <x:c r="F54" t="str">
        <x:v>Data Connect</x:v>
      </x:c>
      <x:c r="G54" t="n">
        <x:v>20</x:v>
      </x:c>
      <x:c r="H54" s="22" t="n">
        <x:v>238.29454216973605</x:v>
      </x:c>
      <x:c r="I54" s="24" t="n">
        <x:v>0.02</x:v>
      </x:c>
      <x:c r="J54" s="22" t="n">
        <x:v>4670.573026526827</x:v>
      </x:c>
      <x:c r="K54" s="22" t="n">
        <x:v>2282.6225222623693</x:v>
      </x:c>
      <x:c r="L54" s="22" t="n">
        <x:v>2387.9505042644573</x:v>
      </x:c>
      <x:c r="M54" s="24" t="n">
        <x:v>0.511275702296471</x:v>
      </x:c>
    </x:row>
    <x:row r="55">
      <x:c r="A55" t="n">
        <x:v>10052</x:v>
      </x:c>
      <x:c r="B55" s="20" t="n">
        <x:v>46075</x:v>
      </x:c>
      <x:c r="C55" t="str">
        <x:v>Customer 29</x:v>
      </x:c>
      <x:c r="D55" t="str">
        <x:v>SMB</x:v>
      </x:c>
      <x:c r="E55" t="str">
        <x:v>South</x:v>
      </x:c>
      <x:c r="F55" t="str">
        <x:v>Reporting Suite</x:v>
      </x:c>
      <x:c r="G55" t="n">
        <x:v>18</x:v>
      </x:c>
      <x:c r="H55" s="22" t="n">
        <x:v>300.088404204474</x:v>
      </x:c>
      <x:c r="I55" s="24" t="n">
        <x:v>0.08</x:v>
      </x:c>
      <x:c r="J55" s="22" t="n">
        <x:v>4969.46397362609</x:v>
      </x:c>
      <x:c r="K55" s="22" t="n">
        <x:v>1987.2659644573755</x:v>
      </x:c>
      <x:c r="L55" s="22" t="n">
        <x:v>2982.198009168714</x:v>
      </x:c>
      <x:c r="M55" s="24" t="n">
        <x:v>0.60010456358992</x:v>
      </x:c>
    </x:row>
    <x:row r="56">
      <x:c r="A56" t="n">
        <x:v>10053</x:v>
      </x:c>
      <x:c r="B56" s="20" t="n">
        <x:v>46078</x:v>
      </x:c>
      <x:c r="C56" t="str">
        <x:v>Customer 06</x:v>
      </x:c>
      <x:c r="D56" t="str">
        <x:v>Enterprise</x:v>
      </x:c>
      <x:c r="E56" t="str">
        <x:v>West</x:v>
      </x:c>
      <x:c r="F56" t="str">
        <x:v>Finance Cloud</x:v>
      </x:c>
      <x:c r="G56" t="n">
        <x:v>39</x:v>
      </x:c>
      <x:c r="H56" s="22" t="n">
        <x:v>624.3941350627939</x:v>
      </x:c>
      <x:c r="I56" s="24" t="n">
        <x:v>0</x:v>
      </x:c>
      <x:c r="J56" s="22" t="n">
        <x:v>24351.37126744896</x:v>
      </x:c>
      <x:c r="K56" s="22" t="n">
        <x:v>8311.569840554319</x:v>
      </x:c>
      <x:c r="L56" s="22" t="n">
        <x:v>16039.801426894643</x:v>
      </x:c>
      <x:c r="M56" s="24" t="n">
        <x:v>0.6586816508495936</x:v>
      </x:c>
    </x:row>
    <x:row r="57">
      <x:c r="A57" t="n">
        <x:v>10054</x:v>
      </x:c>
      <x:c r="B57" s="20" t="n">
        <x:v>46054</x:v>
      </x:c>
      <x:c r="C57" t="str">
        <x:v>Customer 13</x:v>
      </x:c>
      <x:c r="D57" t="str">
        <x:v>Mid-Market</x:v>
      </x:c>
      <x:c r="E57" t="str">
        <x:v>Northeast</x:v>
      </x:c>
      <x:c r="F57" t="str">
        <x:v>Analytics Pro</x:v>
      </x:c>
      <x:c r="G57" t="n">
        <x:v>19</x:v>
      </x:c>
      <x:c r="H57" s="22" t="n">
        <x:v>446.3257503147707</x:v>
      </x:c>
      <x:c r="I57" s="24" t="n">
        <x:v>0.02</x:v>
      </x:c>
      <x:c r="J57" s="22" t="n">
        <x:v>8310.585470861031</x:v>
      </x:c>
      <x:c r="K57" s="22" t="n">
        <x:v>3119.1347804143406</x:v>
      </x:c>
      <x:c r="L57" s="22" t="n">
        <x:v>5191.450690446691</x:v>
      </x:c>
      <x:c r="M57" s="24" t="n">
        <x:v>0.6246792971023764</x:v>
      </x:c>
    </x:row>
    <x:row r="58">
      <x:c r="A58" t="n">
        <x:v>10055</x:v>
      </x:c>
      <x:c r="B58" s="20" t="n">
        <x:v>46057</x:v>
      </x:c>
      <x:c r="C58" t="str">
        <x:v>Customer 20</x:v>
      </x:c>
      <x:c r="D58" t="str">
        <x:v>SMB</x:v>
      </x:c>
      <x:c r="E58" t="str">
        <x:v>Midwest</x:v>
      </x:c>
      <x:c r="F58" t="str">
        <x:v>Data Connect</x:v>
      </x:c>
      <x:c r="G58" t="n">
        <x:v>4</x:v>
      </x:c>
      <x:c r="H58" s="22" t="n">
        <x:v>256.6221616172379</x:v>
      </x:c>
      <x:c r="I58" s="24" t="n">
        <x:v>0.02</x:v>
      </x:c>
      <x:c r="J58" s="22" t="n">
        <x:v>1005.9588735395726</x:v>
      </x:c>
      <x:c r="K58" s="22" t="n">
        <x:v>466.7132673184996</x:v>
      </x:c>
      <x:c r="L58" s="22" t="n">
        <x:v>539.2456062210729</x:v>
      </x:c>
      <x:c r="M58" s="24" t="n">
        <x:v>0.5360513440511542</x:v>
      </x:c>
    </x:row>
    <x:row r="59">
      <x:c r="A59" t="n">
        <x:v>10056</x:v>
      </x:c>
      <x:c r="B59" s="20" t="n">
        <x:v>46060</x:v>
      </x:c>
      <x:c r="C59" t="str">
        <x:v>Customer 27</x:v>
      </x:c>
      <x:c r="D59" t="str">
        <x:v>Enterprise</x:v>
      </x:c>
      <x:c r="E59" t="str">
        <x:v>South</x:v>
      </x:c>
      <x:c r="F59" t="str">
        <x:v>Reporting Suite</x:v>
      </x:c>
      <x:c r="G59" t="n">
        <x:v>46</x:v>
      </x:c>
      <x:c r="H59" s="22" t="n">
        <x:v>334.61455876837795</x:v>
      </x:c>
      <x:c r="I59" s="24" t="n">
        <x:v>0.03</x:v>
      </x:c>
      <x:c r="J59" s="22" t="n">
        <x:v>14930.501612245023</x:v>
      </x:c>
      <x:c r="K59" s="22" t="n">
        <x:v>6589.217116389373</x:v>
      </x:c>
      <x:c r="L59" s="22" t="n">
        <x:v>8341.28449585565</x:v>
      </x:c>
      <x:c r="M59" s="24" t="n">
        <x:v>0.5586740963220334</x:v>
      </x:c>
    </x:row>
    <x:row r="60">
      <x:c r="A60" t="n">
        <x:v>10057</x:v>
      </x:c>
      <x:c r="B60" s="20" t="n">
        <x:v>46063</x:v>
      </x:c>
      <x:c r="C60" t="str">
        <x:v>Customer 04</x:v>
      </x:c>
      <x:c r="D60" t="str">
        <x:v>Mid-Market</x:v>
      </x:c>
      <x:c r="E60" t="str">
        <x:v>West</x:v>
      </x:c>
      <x:c r="F60" t="str">
        <x:v>Finance Cloud</x:v>
      </x:c>
      <x:c r="G60" t="n">
        <x:v>29</x:v>
      </x:c>
      <x:c r="H60" s="22" t="n">
        <x:v>678.640820026429</x:v>
      </x:c>
      <x:c r="I60" s="24" t="n">
        <x:v>0.08</x:v>
      </x:c>
      <x:c r="J60" s="22" t="n">
        <x:v>18106.137078305124</x:v>
      </x:c>
      <x:c r="K60" s="22" t="n">
        <x:v>5940.507073218904</x:v>
      </x:c>
      <x:c r="L60" s="22" t="n">
        <x:v>12165.63000508622</x:v>
      </x:c>
      <x:c r="M60" s="24" t="n">
        <x:v>0.6719064344024627</x:v>
      </x:c>
    </x:row>
    <x:row r="61">
      <x:c r="A61" t="n">
        <x:v>10058</x:v>
      </x:c>
      <x:c r="B61" s="20" t="n">
        <x:v>46066</x:v>
      </x:c>
      <x:c r="C61" t="str">
        <x:v>Customer 11</x:v>
      </x:c>
      <x:c r="D61" t="str">
        <x:v>SMB</x:v>
      </x:c>
      <x:c r="E61" t="str">
        <x:v>Northeast</x:v>
      </x:c>
      <x:c r="F61" t="str">
        <x:v>Analytics Pro</x:v>
      </x:c>
      <x:c r="G61" t="n">
        <x:v>9</x:v>
      </x:c>
      <x:c r="H61" s="22" t="n">
        <x:v>427.7148039303258</x:v>
      </x:c>
      <x:c r="I61" s="24" t="n">
        <x:v>0.02</x:v>
      </x:c>
      <x:c r="J61" s="22" t="n">
        <x:v>3772.4445706654733</x:v>
      </x:c>
      <x:c r="K61" s="22" t="n">
        <x:v>1395.1835138542892</x:v>
      </x:c>
      <x:c r="L61" s="22" t="n">
        <x:v>2377.261056811184</x:v>
      </x:c>
      <x:c r="M61" s="24" t="n">
        <x:v>0.6301646087252718</x:v>
      </x:c>
    </x:row>
    <x:row r="62">
      <x:c r="A62" t="n">
        <x:v>10059</x:v>
      </x:c>
      <x:c r="B62" s="20" t="n">
        <x:v>46069</x:v>
      </x:c>
      <x:c r="C62" t="str">
        <x:v>Customer 18</x:v>
      </x:c>
      <x:c r="D62" t="str">
        <x:v>Enterprise</x:v>
      </x:c>
      <x:c r="E62" t="str">
        <x:v>Midwest</x:v>
      </x:c>
      <x:c r="F62" t="str">
        <x:v>Data Connect</x:v>
      </x:c>
      <x:c r="G62" t="n">
        <x:v>55</x:v>
      </x:c>
      <x:c r="H62" s="22" t="n">
        <x:v>246.03952623557072</x:v>
      </x:c>
      <x:c r="I62" s="24" t="n">
        <x:v>0.03</x:v>
      </x:c>
      <x:c r="J62" s="22" t="n">
        <x:v>13126.208724667698</x:v>
      </x:c>
      <x:c r="K62" s="22" t="n">
        <x:v>5878.681047676436</x:v>
      </x:c>
      <x:c r="L62" s="22" t="n">
        <x:v>7247.5276769912625</x:v>
      </x:c>
      <x:c r="M62" s="24" t="n">
        <x:v>0.5521417363546259</x:v>
      </x:c>
    </x:row>
    <x:row r="63">
      <x:c r="A63" t="n">
        <x:v>10060</x:v>
      </x:c>
      <x:c r="B63" s="20" t="n">
        <x:v>46072</x:v>
      </x:c>
      <x:c r="C63" t="str">
        <x:v>Customer 25</x:v>
      </x:c>
      <x:c r="D63" t="str">
        <x:v>Mid-Market</x:v>
      </x:c>
      <x:c r="E63" t="str">
        <x:v>South</x:v>
      </x:c>
      <x:c r="F63" t="str">
        <x:v>Reporting Suite</x:v>
      </x:c>
      <x:c r="G63" t="n">
        <x:v>25</x:v>
      </x:c>
      <x:c r="H63" s="22" t="n">
        <x:v>319.3940346441512</x:v>
      </x:c>
      <x:c r="I63" s="24" t="n">
        <x:v>0.08</x:v>
      </x:c>
      <x:c r="J63" s="22" t="n">
        <x:v>7346.062796815478</x:v>
      </x:c>
      <x:c r="K63" s="22" t="n">
        <x:v>3239.388584625935</x:v>
      </x:c>
      <x:c r="L63" s="22" t="n">
        <x:v>4106.674212189542</x:v>
      </x:c>
      <x:c r="M63" s="24" t="n">
        <x:v>0.5590306434583963</x:v>
      </x:c>
    </x:row>
    <x:row r="64">
      <x:c r="A64" t="n">
        <x:v>10061</x:v>
      </x:c>
      <x:c r="B64" s="20" t="n">
        <x:v>46075</x:v>
      </x:c>
      <x:c r="C64" t="str">
        <x:v>Customer 02</x:v>
      </x:c>
      <x:c r="D64" t="str">
        <x:v>SMB</x:v>
      </x:c>
      <x:c r="E64" t="str">
        <x:v>West</x:v>
      </x:c>
      <x:c r="F64" t="str">
        <x:v>Finance Cloud</x:v>
      </x:c>
      <x:c r="G64" t="n">
        <x:v>13</x:v>
      </x:c>
      <x:c r="H64" s="22" t="n">
        <x:v>663.6228352207964</x:v>
      </x:c>
      <x:c r="I64" s="24" t="n">
        <x:v>0.02</x:v>
      </x:c>
      <x:c r="J64" s="22" t="n">
        <x:v>8454.554920712946</x:v>
      </x:c>
      <x:c r="K64" s="22" t="n">
        <x:v>2523.059570139552</x:v>
      </x:c>
      <x:c r="L64" s="22" t="n">
        <x:v>5931.495350573394</x:v>
      </x:c>
      <x:c r="M64" s="24" t="n">
        <x:v>0.7015739333648103</x:v>
      </x:c>
    </x:row>
    <x:row r="65">
      <x:c r="A65" t="n">
        <x:v>10062</x:v>
      </x:c>
      <x:c r="B65" s="20" t="n">
        <x:v>46078</x:v>
      </x:c>
      <x:c r="C65" t="str">
        <x:v>Customer 09</x:v>
      </x:c>
      <x:c r="D65" t="str">
        <x:v>Enterprise</x:v>
      </x:c>
      <x:c r="E65" t="str">
        <x:v>Northeast</x:v>
      </x:c>
      <x:c r="F65" t="str">
        <x:v>Analytics Pro</x:v>
      </x:c>
      <x:c r="G65" t="n">
        <x:v>44</x:v>
      </x:c>
      <x:c r="H65" s="22" t="n">
        <x:v>406.189732064421</x:v>
      </x:c>
      <x:c r="I65" s="24" t="n">
        <x:v>0.02</x:v>
      </x:c>
      <x:c r="J65" s="22" t="n">
        <x:v>17514.901246617832</x:v>
      </x:c>
      <x:c r="K65" s="22" t="n">
        <x:v>6571.394387906246</x:v>
      </x:c>
      <x:c r="L65" s="22" t="n">
        <x:v>10943.506858711586</x:v>
      </x:c>
      <x:c r="M65" s="24" t="n">
        <x:v>0.624811222434086</x:v>
      </x:c>
    </x:row>
    <x:row r="66">
      <x:c r="A66" t="n">
        <x:v>10063</x:v>
      </x:c>
      <x:c r="B66" s="20" t="n">
        <x:v>46054</x:v>
      </x:c>
      <x:c r="C66" t="str">
        <x:v>Customer 16</x:v>
      </x:c>
      <x:c r="D66" t="str">
        <x:v>Mid-Market</x:v>
      </x:c>
      <x:c r="E66" t="str">
        <x:v>Midwest</x:v>
      </x:c>
      <x:c r="F66" t="str">
        <x:v>Data Connect</x:v>
      </x:c>
      <x:c r="G66" t="n">
        <x:v>37</x:v>
      </x:c>
      <x:c r="H66" s="22" t="n">
        <x:v>247.11832623333186</x:v>
      </x:c>
      <x:c r="I66" s="24" t="n">
        <x:v>0</x:v>
      </x:c>
      <x:c r="J66" s="22" t="n">
        <x:v>9143.378070633278</x:v>
      </x:c>
      <x:c r="K66" s="22" t="n">
        <x:v>4351.965207378122</x:v>
      </x:c>
      <x:c r="L66" s="22" t="n">
        <x:v>4791.4128632551565</x:v>
      </x:c>
      <x:c r="M66" s="24" t="n">
        <x:v>0.5240309244833949</x:v>
      </x:c>
    </x:row>
    <x:row r="67">
      <x:c r="A67" t="n">
        <x:v>10064</x:v>
      </x:c>
      <x:c r="B67" s="20" t="n">
        <x:v>46057</x:v>
      </x:c>
      <x:c r="C67" t="str">
        <x:v>Customer 23</x:v>
      </x:c>
      <x:c r="D67" t="str">
        <x:v>SMB</x:v>
      </x:c>
      <x:c r="E67" t="str">
        <x:v>South</x:v>
      </x:c>
      <x:c r="F67" t="str">
        <x:v>Reporting Suite</x:v>
      </x:c>
      <x:c r="G67" t="n">
        <x:v>12</x:v>
      </x:c>
      <x:c r="H67" s="22" t="n">
        <x:v>313.13507018750437</x:v>
      </x:c>
      <x:c r="I67" s="24" t="n">
        <x:v>0.08</x:v>
      </x:c>
      <x:c r="J67" s="22" t="n">
        <x:v>3457.0111748700483</x:v>
      </x:c>
      <x:c r="K67" s="22" t="n">
        <x:v>1463.219203676991</x:v>
      </x:c>
      <x:c r="L67" s="22" t="n">
        <x:v>1993.7919711930574</x:v>
      </x:c>
      <x:c r="M67" s="24" t="n">
        <x:v>0.5767386538077955</x:v>
      </x:c>
    </x:row>
    <x:row r="68">
      <x:c r="A68" t="n">
        <x:v>10065</x:v>
      </x:c>
      <x:c r="B68" s="20" t="n">
        <x:v>46060</x:v>
      </x:c>
      <x:c r="C68" t="str">
        <x:v>Customer 30</x:v>
      </x:c>
      <x:c r="D68" t="str">
        <x:v>Enterprise</x:v>
      </x:c>
      <x:c r="E68" t="str">
        <x:v>West</x:v>
      </x:c>
      <x:c r="F68" t="str">
        <x:v>Finance Cloud</x:v>
      </x:c>
      <x:c r="G68" t="n">
        <x:v>42</x:v>
      </x:c>
      <x:c r="H68" s="22" t="n">
        <x:v>676.5033985526877</x:v>
      </x:c>
      <x:c r="I68" s="24" t="n">
        <x:v>0.03</x:v>
      </x:c>
      <x:c r="J68" s="22" t="n">
        <x:v>27560.748457036494</x:v>
      </x:c>
      <x:c r="K68" s="22" t="n">
        <x:v>8459.33896983944</x:v>
      </x:c>
      <x:c r="L68" s="22" t="n">
        <x:v>19101.409487197052</x:v>
      </x:c>
      <x:c r="M68" s="24" t="n">
        <x:v>0.6930657023692076</x:v>
      </x:c>
    </x:row>
    <x:row r="69">
      <x:c r="A69" t="n">
        <x:v>10066</x:v>
      </x:c>
      <x:c r="B69" s="20" t="n">
        <x:v>46063</x:v>
      </x:c>
      <x:c r="C69" t="str">
        <x:v>Customer 07</x:v>
      </x:c>
      <x:c r="D69" t="str">
        <x:v>Mid-Market</x:v>
      </x:c>
      <x:c r="E69" t="str">
        <x:v>Northeast</x:v>
      </x:c>
      <x:c r="F69" t="str">
        <x:v>Analytics Pro</x:v>
      </x:c>
      <x:c r="G69" t="n">
        <x:v>33</x:v>
      </x:c>
      <x:c r="H69" s="22" t="n">
        <x:v>423.04255881184486</x:v>
      </x:c>
      <x:c r="I69" s="24" t="n">
        <x:v>0.03</x:v>
      </x:c>
      <x:c r="J69" s="22" t="n">
        <x:v>13541.592307567154</x:v>
      </x:c>
      <x:c r="K69" s="22" t="n">
        <x:v>5116.842706923876</x:v>
      </x:c>
      <x:c r="L69" s="22" t="n">
        <x:v>8424.749600643278</x:v>
      </x:c>
      <x:c r="M69" s="24" t="n">
        <x:v>0.6221387713714773</x:v>
      </x:c>
    </x:row>
    <x:row r="70">
      <x:c r="A70" t="n">
        <x:v>10067</x:v>
      </x:c>
      <x:c r="B70" s="20" t="n">
        <x:v>46066</x:v>
      </x:c>
      <x:c r="C70" t="str">
        <x:v>Customer 14</x:v>
      </x:c>
      <x:c r="D70" t="str">
        <x:v>SMB</x:v>
      </x:c>
      <x:c r="E70" t="str">
        <x:v>Midwest</x:v>
      </x:c>
      <x:c r="F70" t="str">
        <x:v>Data Connect</x:v>
      </x:c>
      <x:c r="G70" t="n">
        <x:v>32</x:v>
      </x:c>
      <x:c r="H70" s="22" t="n">
        <x:v>230.38565086143163</x:v>
      </x:c>
      <x:c r="I70" s="24" t="n">
        <x:v>0.08</x:v>
      </x:c>
      <x:c r="J70" s="22" t="n">
        <x:v>6782.553561360547</x:v>
      </x:c>
      <x:c r="K70" s="22" t="n">
        <x:v>3356.8398709891208</x:v>
      </x:c>
      <x:c r="L70" s="22" t="n">
        <x:v>3425.7136903714263</x:v>
      </x:c>
      <x:c r="M70" s="24" t="n">
        <x:v>0.505077277957278</x:v>
      </x:c>
    </x:row>
    <x:row r="71">
      <x:c r="A71" t="n">
        <x:v>10068</x:v>
      </x:c>
      <x:c r="B71" s="20" t="n">
        <x:v>46069</x:v>
      </x:c>
      <x:c r="C71" t="str">
        <x:v>Customer 21</x:v>
      </x:c>
      <x:c r="D71" t="str">
        <x:v>Enterprise</x:v>
      </x:c>
      <x:c r="E71" t="str">
        <x:v>South</x:v>
      </x:c>
      <x:c r="F71" t="str">
        <x:v>Reporting Suite</x:v>
      </x:c>
      <x:c r="G71" t="n">
        <x:v>36</x:v>
      </x:c>
      <x:c r="H71" s="22" t="n">
        <x:v>335.02388361741373</x:v>
      </x:c>
      <x:c r="I71" s="24" t="n">
        <x:v>0</x:v>
      </x:c>
      <x:c r="J71" s="22" t="n">
        <x:v>12060.859810226895</x:v>
      </x:c>
      <x:c r="K71" s="22" t="n">
        <x:v>5088.256283890853</x:v>
      </x:c>
      <x:c r="L71" s="22" t="n">
        <x:v>6972.603526336042</x:v>
      </x:c>
      <x:c r="M71" s="24" t="n">
        <x:v>0.5781182797949187</x:v>
      </x:c>
    </x:row>
    <x:row r="72">
      <x:c r="A72" t="n">
        <x:v>10069</x:v>
      </x:c>
      <x:c r="B72" s="20" t="n">
        <x:v>46072</x:v>
      </x:c>
      <x:c r="C72" t="str">
        <x:v>Customer 28</x:v>
      </x:c>
      <x:c r="D72" t="str">
        <x:v>Mid-Market</x:v>
      </x:c>
      <x:c r="E72" t="str">
        <x:v>West</x:v>
      </x:c>
      <x:c r="F72" t="str">
        <x:v>Finance Cloud</x:v>
      </x:c>
      <x:c r="G72" t="n">
        <x:v>23</x:v>
      </x:c>
      <x:c r="H72" s="22" t="n">
        <x:v>650.9871429097768</x:v>
      </x:c>
      <x:c r="I72" s="24" t="n">
        <x:v>0</x:v>
      </x:c>
      <x:c r="J72" s="22" t="n">
        <x:v>14972.704286924867</x:v>
      </x:c>
      <x:c r="K72" s="22" t="n">
        <x:v>5075.200431093525</x:v>
      </x:c>
      <x:c r="L72" s="22" t="n">
        <x:v>9897.503855831343</x:v>
      </x:c>
      <x:c r="M72" s="24" t="n">
        <x:v>0.6610364878757728</x:v>
      </x:c>
    </x:row>
    <x:row r="73">
      <x:c r="A73" t="n">
        <x:v>10070</x:v>
      </x:c>
      <x:c r="B73" s="20" t="n">
        <x:v>46075</x:v>
      </x:c>
      <x:c r="C73" t="str">
        <x:v>Customer 05</x:v>
      </x:c>
      <x:c r="D73" t="str">
        <x:v>SMB</x:v>
      </x:c>
      <x:c r="E73" t="str">
        <x:v>Northeast</x:v>
      </x:c>
      <x:c r="F73" t="str">
        <x:v>Analytics Pro</x:v>
      </x:c>
      <x:c r="G73" t="n">
        <x:v>15</x:v>
      </x:c>
      <x:c r="H73" s="22" t="n">
        <x:v>421.6926485778886</x:v>
      </x:c>
      <x:c r="I73" s="24" t="n">
        <x:v>0.02</x:v>
      </x:c>
      <x:c r="J73" s="22" t="n">
        <x:v>6198.881934094962</x:v>
      </x:c>
      <x:c r="K73" s="22" t="n">
        <x:v>2336.415808274542</x:v>
      </x:c>
      <x:c r="L73" s="22" t="n">
        <x:v>3862.46612582042</x:v>
      </x:c>
      <x:c r="M73" s="24" t="n">
        <x:v>0.6230907713496144</x:v>
      </x:c>
    </x:row>
    <x:row r="74">
      <x:c r="A74" t="n">
        <x:v>10071</x:v>
      </x:c>
      <x:c r="B74" s="20" t="n">
        <x:v>46078</x:v>
      </x:c>
      <x:c r="C74" t="str">
        <x:v>Customer 12</x:v>
      </x:c>
      <x:c r="D74" t="str">
        <x:v>Enterprise</x:v>
      </x:c>
      <x:c r="E74" t="str">
        <x:v>Midwest</x:v>
      </x:c>
      <x:c r="F74" t="str">
        <x:v>Data Connect</x:v>
      </x:c>
      <x:c r="G74" t="n">
        <x:v>38</x:v>
      </x:c>
      <x:c r="H74" s="22" t="n">
        <x:v>259.0136748419476</x:v>
      </x:c>
      <x:c r="I74" s="24" t="n">
        <x:v>0.08</x:v>
      </x:c>
      <x:c r="J74" s="22" t="n">
        <x:v>9055.118072474488</x:v>
      </x:c>
      <x:c r="K74" s="22" t="n">
        <x:v>4033.0695001989675</x:v>
      </x:c>
      <x:c r="L74" s="22" t="n">
        <x:v>5022.04857227552</x:v>
      </x:c>
      <x:c r="M74" s="24" t="n">
        <x:v>0.5546088446423921</x:v>
      </x:c>
    </x:row>
    <x:row r="75">
      <x:c r="A75" t="n">
        <x:v>10072</x:v>
      </x:c>
      <x:c r="B75" s="20" t="n">
        <x:v>46054</x:v>
      </x:c>
      <x:c r="C75" t="str">
        <x:v>Customer 19</x:v>
      </x:c>
      <x:c r="D75" t="str">
        <x:v>Mid-Market</x:v>
      </x:c>
      <x:c r="E75" t="str">
        <x:v>South</x:v>
      </x:c>
      <x:c r="F75" t="str">
        <x:v>Reporting Suite</x:v>
      </x:c>
      <x:c r="G75" t="n">
        <x:v>26</x:v>
      </x:c>
      <x:c r="H75" s="22" t="n">
        <x:v>328.232199302821</x:v>
      </x:c>
      <x:c r="I75" s="24" t="n">
        <x:v>0.03</x:v>
      </x:c>
      <x:c r="J75" s="22" t="n">
        <x:v>8278.016066417145</x:v>
      </x:c>
      <x:c r="K75" s="22" t="n">
        <x:v>3655.4709194564252</x:v>
      </x:c>
      <x:c r="L75" s="22" t="n">
        <x:v>4622.54514696072</x:v>
      </x:c>
      <x:c r="M75" s="24" t="n">
        <x:v>0.5584121980281961</x:v>
      </x:c>
    </x:row>
    <x:row r="76">
      <x:c r="A76" t="n">
        <x:v>10073</x:v>
      </x:c>
      <x:c r="B76" s="20" t="n">
        <x:v>46057</x:v>
      </x:c>
      <x:c r="C76" t="str">
        <x:v>Customer 26</x:v>
      </x:c>
      <x:c r="D76" t="str">
        <x:v>SMB</x:v>
      </x:c>
      <x:c r="E76" t="str">
        <x:v>West</x:v>
      </x:c>
      <x:c r="F76" t="str">
        <x:v>Finance Cloud</x:v>
      </x:c>
      <x:c r="G76" t="n">
        <x:v>29</x:v>
      </x:c>
      <x:c r="H76" s="22" t="n">
        <x:v>644.2609087135158</x:v>
      </x:c>
      <x:c r="I76" s="24" t="n">
        <x:v>0</x:v>
      </x:c>
      <x:c r="J76" s="22" t="n">
        <x:v>18683.56635269196</x:v>
      </x:c>
      <x:c r="K76" s="22" t="n">
        <x:v>6205.201642869354</x:v>
      </x:c>
      <x:c r="L76" s="22" t="n">
        <x:v>12478.364709822607</x:v>
      </x:c>
      <x:c r="M76" s="24" t="n">
        <x:v>0.6678791658009501</x:v>
      </x:c>
    </x:row>
    <x:row r="77">
      <x:c r="A77" t="n">
        <x:v>10074</x:v>
      </x:c>
      <x:c r="B77" s="20" t="n">
        <x:v>46082</x:v>
      </x:c>
      <x:c r="C77" t="str">
        <x:v>Customer 10</x:v>
      </x:c>
      <x:c r="D77" t="str">
        <x:v>Enterprise</x:v>
      </x:c>
      <x:c r="E77" t="str">
        <x:v>West</x:v>
      </x:c>
      <x:c r="F77" t="str">
        <x:v>Data Connect</x:v>
      </x:c>
      <x:c r="G77" t="n">
        <x:v>54</x:v>
      </x:c>
      <x:c r="H77" s="22" t="n">
        <x:v>236.97920679556532</x:v>
      </x:c>
      <x:c r="I77" s="24" t="n">
        <x:v>0.03</x:v>
      </x:c>
      <x:c r="J77" s="22" t="n">
        <x:v>12412.97085195171</x:v>
      </x:c>
      <x:c r="K77" s="22" t="n">
        <x:v>5899.158779784369</x:v>
      </x:c>
      <x:c r="L77" s="22" t="n">
        <x:v>6513.812072167341</x:v>
      </x:c>
      <x:c r="M77" s="24" t="n">
        <x:v>0.5247585086484888</x:v>
      </x:c>
    </x:row>
    <x:row r="78">
      <x:c r="A78" t="n">
        <x:v>10075</x:v>
      </x:c>
      <x:c r="B78" s="20" t="n">
        <x:v>46085</x:v>
      </x:c>
      <x:c r="C78" t="str">
        <x:v>Customer 17</x:v>
      </x:c>
      <x:c r="D78" t="str">
        <x:v>Mid-Market</x:v>
      </x:c>
      <x:c r="E78" t="str">
        <x:v>Northeast</x:v>
      </x:c>
      <x:c r="F78" t="str">
        <x:v>Reporting Suite</x:v>
      </x:c>
      <x:c r="G78" t="n">
        <x:v>26</x:v>
      </x:c>
      <x:c r="H78" s="22" t="n">
        <x:v>324.44346163264066</x:v>
      </x:c>
      <x:c r="I78" s="24" t="n">
        <x:v>0.03</x:v>
      </x:c>
      <x:c r="J78" s="22" t="n">
        <x:v>8182.464102375197</x:v>
      </x:c>
      <x:c r="K78" s="22" t="n">
        <x:v>3438.847894183305</x:v>
      </x:c>
      <x:c r="L78" s="22" t="n">
        <x:v>4743.616208191892</x:v>
      </x:c>
      <x:c r="M78" s="24" t="n">
        <x:v>0.5797295470951006</x:v>
      </x:c>
    </x:row>
    <x:row r="79">
      <x:c r="A79" t="n">
        <x:v>10076</x:v>
      </x:c>
      <x:c r="B79" s="20" t="n">
        <x:v>46088</x:v>
      </x:c>
      <x:c r="C79" t="str">
        <x:v>Customer 24</x:v>
      </x:c>
      <x:c r="D79" t="str">
        <x:v>SMB</x:v>
      </x:c>
      <x:c r="E79" t="str">
        <x:v>Midwest</x:v>
      </x:c>
      <x:c r="F79" t="str">
        <x:v>Finance Cloud</x:v>
      </x:c>
      <x:c r="G79" t="n">
        <x:v>10</x:v>
      </x:c>
      <x:c r="H79" s="22" t="n">
        <x:v>649.5050813912953</x:v>
      </x:c>
      <x:c r="I79" s="24" t="n">
        <x:v>0</x:v>
      </x:c>
      <x:c r="J79" s="22" t="n">
        <x:v>6495.050813912953</x:v>
      </x:c>
      <x:c r="K79" s="22" t="n">
        <x:v>1946.0141519963465</x:v>
      </x:c>
      <x:c r="L79" s="22" t="n">
        <x:v>4549.036661916607</x:v>
      </x:c>
      <x:c r="M79" s="24" t="n">
        <x:v>0.7003850766143633</x:v>
      </x:c>
    </x:row>
    <x:row r="80">
      <x:c r="A80" t="n">
        <x:v>10077</x:v>
      </x:c>
      <x:c r="B80" s="20" t="n">
        <x:v>46091</x:v>
      </x:c>
      <x:c r="C80" t="str">
        <x:v>Customer 01</x:v>
      </x:c>
      <x:c r="D80" t="str">
        <x:v>Enterprise</x:v>
      </x:c>
      <x:c r="E80" t="str">
        <x:v>South</x:v>
      </x:c>
      <x:c r="F80" t="str">
        <x:v>Analytics Pro</x:v>
      </x:c>
      <x:c r="G80" t="n">
        <x:v>39</x:v>
      </x:c>
      <x:c r="H80" s="22" t="n">
        <x:v>406.82806381192495</x:v>
      </x:c>
      <x:c r="I80" s="24" t="n">
        <x:v>0.02</x:v>
      </x:c>
      <x:c r="J80" s="22" t="n">
        <x:v>15548.968598891772</x:v>
      </x:c>
      <x:c r="K80" s="22" t="n">
        <x:v>6015.206647486231</x:v>
      </x:c>
      <x:c r="L80" s="22" t="n">
        <x:v>9533.76195140554</x:v>
      </x:c>
      <x:c r="M80" s="24" t="n">
        <x:v>0.6131443311349309</x:v>
      </x:c>
    </x:row>
    <x:row r="81">
      <x:c r="A81" t="n">
        <x:v>10078</x:v>
      </x:c>
      <x:c r="B81" s="20" t="n">
        <x:v>46094</x:v>
      </x:c>
      <x:c r="C81" t="str">
        <x:v>Customer 08</x:v>
      </x:c>
      <x:c r="D81" t="str">
        <x:v>Mid-Market</x:v>
      </x:c>
      <x:c r="E81" t="str">
        <x:v>West</x:v>
      </x:c>
      <x:c r="F81" t="str">
        <x:v>Data Connect</x:v>
      </x:c>
      <x:c r="G81" t="n">
        <x:v>30</x:v>
      </x:c>
      <x:c r="H81" s="22" t="n">
        <x:v>240.13864090485254</x:v>
      </x:c>
      <x:c r="I81" s="24" t="n">
        <x:v>0.05</x:v>
      </x:c>
      <x:c r="J81" s="22" t="n">
        <x:v>6843.951265788297</x:v>
      </x:c>
      <x:c r="K81" s="22" t="n">
        <x:v>3234.342009099721</x:v>
      </x:c>
      <x:c r="L81" s="22" t="n">
        <x:v>3609.609256688576</x:v>
      </x:c>
      <x:c r="M81" s="24" t="n">
        <x:v>0.5274159789436805</x:v>
      </x:c>
    </x:row>
    <x:row r="82">
      <x:c r="A82" t="n">
        <x:v>10079</x:v>
      </x:c>
      <x:c r="B82" s="20" t="n">
        <x:v>46097</x:v>
      </x:c>
      <x:c r="C82" t="str">
        <x:v>Customer 15</x:v>
      </x:c>
      <x:c r="D82" t="str">
        <x:v>SMB</x:v>
      </x:c>
      <x:c r="E82" t="str">
        <x:v>Northeast</x:v>
      </x:c>
      <x:c r="F82" t="str">
        <x:v>Reporting Suite</x:v>
      </x:c>
      <x:c r="G82" t="n">
        <x:v>14</x:v>
      </x:c>
      <x:c r="H82" s="22" t="n">
        <x:v>303.0250437425865</x:v>
      </x:c>
      <x:c r="I82" s="24" t="n">
        <x:v>0.02</x:v>
      </x:c>
      <x:c r="J82" s="22" t="n">
        <x:v>4157.503600148287</x:v>
      </x:c>
      <x:c r="K82" s="22" t="n">
        <x:v>1755.6286016374684</x:v>
      </x:c>
      <x:c r="L82" s="22" t="n">
        <x:v>2401.8749985108184</x:v>
      </x:c>
      <x:c r="M82" s="24" t="n">
        <x:v>0.5777204855397239</x:v>
      </x:c>
    </x:row>
    <x:row r="83">
      <x:c r="A83" t="n">
        <x:v>10080</x:v>
      </x:c>
      <x:c r="B83" s="20" t="n">
        <x:v>46100</x:v>
      </x:c>
      <x:c r="C83" t="str">
        <x:v>Customer 22</x:v>
      </x:c>
      <x:c r="D83" t="str">
        <x:v>Enterprise</x:v>
      </x:c>
      <x:c r="E83" t="str">
        <x:v>Midwest</x:v>
      </x:c>
      <x:c r="F83" t="str">
        <x:v>Finance Cloud</x:v>
      </x:c>
      <x:c r="G83" t="n">
        <x:v>45</x:v>
      </x:c>
      <x:c r="H83" s="22" t="n">
        <x:v>696.3813638976426</x:v>
      </x:c>
      <x:c r="I83" s="24" t="n">
        <x:v>0.08</x:v>
      </x:c>
      <x:c r="J83" s="22" t="n">
        <x:v>28830.188465362404</x:v>
      </x:c>
      <x:c r="K83" s="22" t="n">
        <x:v>9301.375730831953</x:v>
      </x:c>
      <x:c r="L83" s="22" t="n">
        <x:v>19528.812734530453</x:v>
      </x:c>
      <x:c r="M83" s="24" t="n">
        <x:v>0.6773737451627502</x:v>
      </x:c>
    </x:row>
    <x:row r="84">
      <x:c r="A84" t="n">
        <x:v>10081</x:v>
      </x:c>
      <x:c r="B84" s="20" t="n">
        <x:v>46103</x:v>
      </x:c>
      <x:c r="C84" t="str">
        <x:v>Customer 29</x:v>
      </x:c>
      <x:c r="D84" t="str">
        <x:v>Mid-Market</x:v>
      </x:c>
      <x:c r="E84" t="str">
        <x:v>South</x:v>
      </x:c>
      <x:c r="F84" t="str">
        <x:v>Analytics Pro</x:v>
      </x:c>
      <x:c r="G84" t="n">
        <x:v>25</x:v>
      </x:c>
      <x:c r="H84" s="22" t="n">
        <x:v>425.57378946366856</x:v>
      </x:c>
      <x:c r="I84" s="24" t="n">
        <x:v>0</x:v>
      </x:c>
      <x:c r="J84" s="22" t="n">
        <x:v>10639.344736591715</x:v>
      </x:c>
      <x:c r="K84" s="22" t="n">
        <x:v>4255.165836501087</x:v>
      </x:c>
      <x:c r="L84" s="22" t="n">
        <x:v>6384.178900090627</x:v>
      </x:c>
      <x:c r="M84" s="24" t="n">
        <x:v>0.6000537681736763</x:v>
      </x:c>
    </x:row>
    <x:row r="85">
      <x:c r="A85" t="n">
        <x:v>10082</x:v>
      </x:c>
      <x:c r="B85" s="20" t="n">
        <x:v>46106</x:v>
      </x:c>
      <x:c r="C85" t="str">
        <x:v>Customer 06</x:v>
      </x:c>
      <x:c r="D85" t="str">
        <x:v>SMB</x:v>
      </x:c>
      <x:c r="E85" t="str">
        <x:v>West</x:v>
      </x:c>
      <x:c r="F85" t="str">
        <x:v>Data Connect</x:v>
      </x:c>
      <x:c r="G85" t="n">
        <x:v>16</x:v>
      </x:c>
      <x:c r="H85" s="22" t="n">
        <x:v>238.59971043331046</x:v>
      </x:c>
      <x:c r="I85" s="24" t="n">
        <x:v>0.02</x:v>
      </x:c>
      <x:c r="J85" s="22" t="n">
        <x:v>3741.243459594308</x:v>
      </x:c>
      <x:c r="K85" s="22" t="n">
        <x:v>1789.6113525457247</x:v>
      </x:c>
      <x:c r="L85" s="22" t="n">
        <x:v>1951.6321070485835</x:v>
      </x:c>
      <x:c r="M85" s="24" t="n">
        <x:v>0.5216533294682228</x:v>
      </x:c>
    </x:row>
    <x:row r="86">
      <x:c r="A86" t="n">
        <x:v>10083</x:v>
      </x:c>
      <x:c r="B86" s="20" t="n">
        <x:v>46082</x:v>
      </x:c>
      <x:c r="C86" t="str">
        <x:v>Customer 13</x:v>
      </x:c>
      <x:c r="D86" t="str">
        <x:v>Enterprise</x:v>
      </x:c>
      <x:c r="E86" t="str">
        <x:v>Northeast</x:v>
      </x:c>
      <x:c r="F86" t="str">
        <x:v>Reporting Suite</x:v>
      </x:c>
      <x:c r="G86" t="n">
        <x:v>38</x:v>
      </x:c>
      <x:c r="H86" s="22" t="n">
        <x:v>333.6574927152005</x:v>
      </x:c>
      <x:c r="I86" s="24" t="n">
        <x:v>0.08</x:v>
      </x:c>
      <x:c r="J86" s="22" t="n">
        <x:v>11664.66594532341</x:v>
      </x:c>
      <x:c r="K86" s="22" t="n">
        <x:v>5044.663346777166</x:v>
      </x:c>
      <x:c r="L86" s="22" t="n">
        <x:v>6620.0025985462435</x:v>
      </x:c>
      <x:c r="M86" s="24" t="n">
        <x:v>0.567526119442823</x:v>
      </x:c>
    </x:row>
    <x:row r="87">
      <x:c r="A87" t="n">
        <x:v>10084</x:v>
      </x:c>
      <x:c r="B87" s="20" t="n">
        <x:v>46085</x:v>
      </x:c>
      <x:c r="C87" t="str">
        <x:v>Customer 20</x:v>
      </x:c>
      <x:c r="D87" t="str">
        <x:v>Mid-Market</x:v>
      </x:c>
      <x:c r="E87" t="str">
        <x:v>Midwest</x:v>
      </x:c>
      <x:c r="F87" t="str">
        <x:v>Finance Cloud</x:v>
      </x:c>
      <x:c r="G87" t="n">
        <x:v>36</x:v>
      </x:c>
      <x:c r="H87" s="22" t="n">
        <x:v>703.7058655052382</x:v>
      </x:c>
      <x:c r="I87" s="24" t="n">
        <x:v>0.02</x:v>
      </x:c>
      <x:c r="J87" s="22" t="n">
        <x:v>24826.742935024802</x:v>
      </x:c>
      <x:c r="K87" s="22" t="n">
        <x:v>8397.156333842877</x:v>
      </x:c>
      <x:c r="L87" s="22" t="n">
        <x:v>16429.586601181923</x:v>
      </x:c>
      <x:c r="M87" s="24" t="n">
        <x:v>0.6617697151890017</x:v>
      </x:c>
    </x:row>
    <x:row r="88">
      <x:c r="A88" t="n">
        <x:v>10085</x:v>
      </x:c>
      <x:c r="B88" s="20" t="n">
        <x:v>46088</x:v>
      </x:c>
      <x:c r="C88" t="str">
        <x:v>Customer 27</x:v>
      </x:c>
      <x:c r="D88" t="str">
        <x:v>SMB</x:v>
      </x:c>
      <x:c r="E88" t="str">
        <x:v>South</x:v>
      </x:c>
      <x:c r="F88" t="str">
        <x:v>Analytics Pro</x:v>
      </x:c>
      <x:c r="G88" t="n">
        <x:v>30</x:v>
      </x:c>
      <x:c r="H88" s="22" t="n">
        <x:v>452.4000780164825</x:v>
      </x:c>
      <x:c r="I88" s="24" t="n">
        <x:v>0</x:v>
      </x:c>
      <x:c r="J88" s="22" t="n">
        <x:v>13572.002340494475</x:v>
      </x:c>
      <x:c r="K88" s="22" t="n">
        <x:v>4939.774998060766</x:v>
      </x:c>
      <x:c r="L88" s="22" t="n">
        <x:v>8632.227342433709</x:v>
      </x:c>
      <x:c r="M88" s="24" t="n">
        <x:v>0.6360319668290897</x:v>
      </x:c>
    </x:row>
    <x:row r="89">
      <x:c r="A89" t="n">
        <x:v>10086</x:v>
      </x:c>
      <x:c r="B89" s="20" t="n">
        <x:v>46091</x:v>
      </x:c>
      <x:c r="C89" t="str">
        <x:v>Customer 04</x:v>
      </x:c>
      <x:c r="D89" t="str">
        <x:v>Enterprise</x:v>
      </x:c>
      <x:c r="E89" t="str">
        <x:v>West</x:v>
      </x:c>
      <x:c r="F89" t="str">
        <x:v>Data Connect</x:v>
      </x:c>
      <x:c r="G89" t="n">
        <x:v>42</x:v>
      </x:c>
      <x:c r="H89" s="22" t="n">
        <x:v>259.7919911260452</x:v>
      </x:c>
      <x:c r="I89" s="24" t="n">
        <x:v>0.05</x:v>
      </x:c>
      <x:c r="J89" s="22" t="n">
        <x:v>10365.700445929204</x:v>
      </x:c>
      <x:c r="K89" s="22" t="n">
        <x:v>5028.523155309535</x:v>
      </x:c>
      <x:c r="L89" s="22" t="n">
        <x:v>5337.177290619669</x:v>
      </x:c>
      <x:c r="M89" s="24" t="n">
        <x:v>0.5148882430531431</x:v>
      </x:c>
    </x:row>
    <x:row r="90">
      <x:c r="A90" t="n">
        <x:v>10087</x:v>
      </x:c>
      <x:c r="B90" s="20" t="n">
        <x:v>46094</x:v>
      </x:c>
      <x:c r="C90" t="str">
        <x:v>Customer 11</x:v>
      </x:c>
      <x:c r="D90" t="str">
        <x:v>Mid-Market</x:v>
      </x:c>
      <x:c r="E90" t="str">
        <x:v>Northeast</x:v>
      </x:c>
      <x:c r="F90" t="str">
        <x:v>Reporting Suite</x:v>
      </x:c>
      <x:c r="G90" t="n">
        <x:v>37</x:v>
      </x:c>
      <x:c r="H90" s="22" t="n">
        <x:v>310.3649275688218</x:v>
      </x:c>
      <x:c r="I90" s="24" t="n">
        <x:v>0</x:v>
      </x:c>
      <x:c r="J90" s="22" t="n">
        <x:v>11483.502320046407</x:v>
      </x:c>
      <x:c r="K90" s="22" t="n">
        <x:v>4755.629354366153</x:v>
      </x:c>
      <x:c r="L90" s="22" t="n">
        <x:v>6727.872965680254</x:v>
      </x:c>
      <x:c r="M90" s="24" t="n">
        <x:v>0.5858729138701533</x:v>
      </x:c>
    </x:row>
    <x:row r="91">
      <x:c r="A91" t="n">
        <x:v>10088</x:v>
      </x:c>
      <x:c r="B91" s="20" t="n">
        <x:v>46097</x:v>
      </x:c>
      <x:c r="C91" t="str">
        <x:v>Customer 18</x:v>
      </x:c>
      <x:c r="D91" t="str">
        <x:v>SMB</x:v>
      </x:c>
      <x:c r="E91" t="str">
        <x:v>Midwest</x:v>
      </x:c>
      <x:c r="F91" t="str">
        <x:v>Finance Cloud</x:v>
      </x:c>
      <x:c r="G91" t="n">
        <x:v>4</x:v>
      </x:c>
      <x:c r="H91" s="22" t="n">
        <x:v>632.4411349798693</x:v>
      </x:c>
      <x:c r="I91" s="24" t="n">
        <x:v>0.05</x:v>
      </x:c>
      <x:c r="J91" s="22" t="n">
        <x:v>2403.276312923503</x:v>
      </x:c>
      <x:c r="K91" s="22" t="n">
        <x:v>735.694996541084</x:v>
      </x:c>
      <x:c r="L91" s="22" t="n">
        <x:v>1667.5813163824191</x:v>
      </x:c>
      <x:c r="M91" s="24" t="n">
        <x:v>0.6938783141227168</x:v>
      </x:c>
    </x:row>
    <x:row r="92">
      <x:c r="A92" t="n">
        <x:v>10089</x:v>
      </x:c>
      <x:c r="B92" s="20" t="n">
        <x:v>46100</x:v>
      </x:c>
      <x:c r="C92" t="str">
        <x:v>Customer 25</x:v>
      </x:c>
      <x:c r="D92" t="str">
        <x:v>Enterprise</x:v>
      </x:c>
      <x:c r="E92" t="str">
        <x:v>South</x:v>
      </x:c>
      <x:c r="F92" t="str">
        <x:v>Analytics Pro</x:v>
      </x:c>
      <x:c r="G92" t="n">
        <x:v>48</x:v>
      </x:c>
      <x:c r="H92" s="22" t="n">
        <x:v>422.4870683052814</x:v>
      </x:c>
      <x:c r="I92" s="24" t="n">
        <x:v>0.02</x:v>
      </x:c>
      <x:c r="J92" s="22" t="n">
        <x:v>19873.79169308044</x:v>
      </x:c>
      <x:c r="K92" s="22" t="n">
        <x:v>7276.712858076096</x:v>
      </x:c>
      <x:c r="L92" s="22" t="n">
        <x:v>12597.078835004342</x:v>
      </x:c>
      <x:c r="M92" s="24" t="n">
        <x:v>0.6338538226397096</x:v>
      </x:c>
    </x:row>
    <x:row r="93">
      <x:c r="A93" t="n">
        <x:v>10090</x:v>
      </x:c>
      <x:c r="B93" s="20" t="n">
        <x:v>46103</x:v>
      </x:c>
      <x:c r="C93" t="str">
        <x:v>Customer 02</x:v>
      </x:c>
      <x:c r="D93" t="str">
        <x:v>Mid-Market</x:v>
      </x:c>
      <x:c r="E93" t="str">
        <x:v>West</x:v>
      </x:c>
      <x:c r="F93" t="str">
        <x:v>Data Connect</x:v>
      </x:c>
      <x:c r="G93" t="n">
        <x:v>19</x:v>
      </x:c>
      <x:c r="H93" s="22" t="n">
        <x:v>251.94722433305535</x:v>
      </x:c>
      <x:c r="I93" s="24" t="n">
        <x:v>0.05</x:v>
      </x:c>
      <x:c r="J93" s="22" t="n">
        <x:v>4547.647399211649</x:v>
      </x:c>
      <x:c r="K93" s="22" t="n">
        <x:v>2098.344073080403</x:v>
      </x:c>
      <x:c r="L93" s="22" t="n">
        <x:v>2449.3033261312457</x:v>
      </x:c>
      <x:c r="M93" s="24" t="n">
        <x:v>0.5385869024401148</x:v>
      </x:c>
    </x:row>
    <x:row r="94">
      <x:c r="A94" t="n">
        <x:v>10091</x:v>
      </x:c>
      <x:c r="B94" s="20" t="n">
        <x:v>46106</x:v>
      </x:c>
      <x:c r="C94" t="str">
        <x:v>Customer 09</x:v>
      </x:c>
      <x:c r="D94" t="str">
        <x:v>SMB</x:v>
      </x:c>
      <x:c r="E94" t="str">
        <x:v>Northeast</x:v>
      </x:c>
      <x:c r="F94" t="str">
        <x:v>Reporting Suite</x:v>
      </x:c>
      <x:c r="G94" t="n">
        <x:v>29</x:v>
      </x:c>
      <x:c r="H94" s="22" t="n">
        <x:v>310.83695322113124</x:v>
      </x:c>
      <x:c r="I94" s="24" t="n">
        <x:v>0.08</x:v>
      </x:c>
      <x:c r="J94" s="22" t="n">
        <x:v>8293.12991193978</x:v>
      </x:c>
      <x:c r="K94" s="22" t="n">
        <x:v>3441.5155534408227</x:v>
      </x:c>
      <x:c r="L94" s="22" t="n">
        <x:v>4851.614358498959</x:v>
      </x:c>
      <x:c r="M94" s="24" t="n">
        <x:v>0.585016080781997</x:v>
      </x:c>
    </x:row>
    <x:row r="95">
      <x:c r="A95" t="n">
        <x:v>10092</x:v>
      </x:c>
      <x:c r="B95" s="20" t="n">
        <x:v>46082</x:v>
      </x:c>
      <x:c r="C95" t="str">
        <x:v>Customer 16</x:v>
      </x:c>
      <x:c r="D95" t="str">
        <x:v>Enterprise</x:v>
      </x:c>
      <x:c r="E95" t="str">
        <x:v>Midwest</x:v>
      </x:c>
      <x:c r="F95" t="str">
        <x:v>Finance Cloud</x:v>
      </x:c>
      <x:c r="G95" t="n">
        <x:v>29</x:v>
      </x:c>
      <x:c r="H95" s="22" t="n">
        <x:v>708.1555658695082</x:v>
      </x:c>
      <x:c r="I95" s="24" t="n">
        <x:v>0.08</x:v>
      </x:c>
      <x:c r="J95" s="22" t="n">
        <x:v>18893.59049739848</x:v>
      </x:c>
      <x:c r="K95" s="22" t="n">
        <x:v>5886.439696898075</x:v>
      </x:c>
      <x:c r="L95" s="22" t="n">
        <x:v>13007.150800500403</x:v>
      </x:c>
      <x:c r="M95" s="24" t="n">
        <x:v>0.6884425065892796</x:v>
      </x:c>
    </x:row>
    <x:row r="96">
      <x:c r="A96" t="n">
        <x:v>10093</x:v>
      </x:c>
      <x:c r="B96" s="20" t="n">
        <x:v>46085</x:v>
      </x:c>
      <x:c r="C96" t="str">
        <x:v>Customer 23</x:v>
      </x:c>
      <x:c r="D96" t="str">
        <x:v>Mid-Market</x:v>
      </x:c>
      <x:c r="E96" t="str">
        <x:v>South</x:v>
      </x:c>
      <x:c r="F96" t="str">
        <x:v>Analytics Pro</x:v>
      </x:c>
      <x:c r="G96" t="n">
        <x:v>44</x:v>
      </x:c>
      <x:c r="H96" s="22" t="n">
        <x:v>420.2042032750086</x:v>
      </x:c>
      <x:c r="I96" s="24" t="n">
        <x:v>0.08</x:v>
      </x:c>
      <x:c r="J96" s="22" t="n">
        <x:v>17009.86614857235</x:v>
      </x:c>
      <x:c r="K96" s="22" t="n">
        <x:v>6857.131476468771</x:v>
      </x:c>
      <x:c r="L96" s="22" t="n">
        <x:v>10152.73467210358</x:v>
      </x:c>
      <x:c r="M96" s="24" t="n">
        <x:v>0.5968732842119222</x:v>
      </x:c>
    </x:row>
    <x:row r="97">
      <x:c r="A97" t="n">
        <x:v>10094</x:v>
      </x:c>
      <x:c r="B97" s="20" t="n">
        <x:v>46088</x:v>
      </x:c>
      <x:c r="C97" t="str">
        <x:v>Customer 30</x:v>
      </x:c>
      <x:c r="D97" t="str">
        <x:v>SMB</x:v>
      </x:c>
      <x:c r="E97" t="str">
        <x:v>West</x:v>
      </x:c>
      <x:c r="F97" t="str">
        <x:v>Data Connect</x:v>
      </x:c>
      <x:c r="G97" t="n">
        <x:v>18</x:v>
      </x:c>
      <x:c r="H97" s="22" t="n">
        <x:v>240.24279417788136</x:v>
      </x:c>
      <x:c r="I97" s="24" t="n">
        <x:v>0</x:v>
      </x:c>
      <x:c r="J97" s="22" t="n">
        <x:v>4324.370295201865</x:v>
      </x:c>
      <x:c r="K97" s="22" t="n">
        <x:v>2053.334532066845</x:v>
      </x:c>
      <x:c r="L97" s="22" t="n">
        <x:v>2271.03576313502</x:v>
      </x:c>
      <x:c r="M97" s="24" t="n">
        <x:v>0.5251714372506128</x:v>
      </x:c>
    </x:row>
    <x:row r="98">
      <x:c r="A98" t="n">
        <x:v>10095</x:v>
      </x:c>
      <x:c r="B98" s="20" t="n">
        <x:v>46091</x:v>
      </x:c>
      <x:c r="C98" t="str">
        <x:v>Customer 07</x:v>
      </x:c>
      <x:c r="D98" t="str">
        <x:v>Enterprise</x:v>
      </x:c>
      <x:c r="E98" t="str">
        <x:v>Northeast</x:v>
      </x:c>
      <x:c r="F98" t="str">
        <x:v>Reporting Suite</x:v>
      </x:c>
      <x:c r="G98" t="n">
        <x:v>37</x:v>
      </x:c>
      <x:c r="H98" s="22" t="n">
        <x:v>316.8628680543862</x:v>
      </x:c>
      <x:c r="I98" s="24" t="n">
        <x:v>0.08</x:v>
      </x:c>
      <x:c r="J98" s="22" t="n">
        <x:v>10786.012028571306</x:v>
      </x:c>
      <x:c r="K98" s="22" t="n">
        <x:v>4322.842592165362</x:v>
      </x:c>
      <x:c r="L98" s="22" t="n">
        <x:v>6463.169436405944</x:v>
      </x:c>
      <x:c r="M98" s="24" t="n">
        <x:v>0.5992177107985335</x:v>
      </x:c>
    </x:row>
    <x:row r="99">
      <x:c r="A99" t="n">
        <x:v>10096</x:v>
      </x:c>
      <x:c r="B99" s="20" t="n">
        <x:v>46094</x:v>
      </x:c>
      <x:c r="C99" t="str">
        <x:v>Customer 14</x:v>
      </x:c>
      <x:c r="D99" t="str">
        <x:v>Mid-Market</x:v>
      </x:c>
      <x:c r="E99" t="str">
        <x:v>Midwest</x:v>
      </x:c>
      <x:c r="F99" t="str">
        <x:v>Finance Cloud</x:v>
      </x:c>
      <x:c r="G99" t="n">
        <x:v>39</x:v>
      </x:c>
      <x:c r="H99" s="22" t="n">
        <x:v>701.5962102420857</x:v>
      </x:c>
      <x:c r="I99" s="24" t="n">
        <x:v>0.02</x:v>
      </x:c>
      <x:c r="J99" s="22" t="n">
        <x:v>26815.007155452517</x:v>
      </x:c>
      <x:c r="K99" s="22" t="n">
        <x:v>8251.946402096537</x:v>
      </x:c>
      <x:c r="L99" s="22" t="n">
        <x:v>18563.06075335598</x:v>
      </x:c>
      <x:c r="M99" s="24" t="n">
        <x:v>0.6922638746930709</x:v>
      </x:c>
    </x:row>
    <x:row r="100">
      <x:c r="A100" t="n">
        <x:v>10097</x:v>
      </x:c>
      <x:c r="B100" s="20" t="n">
        <x:v>46097</x:v>
      </x:c>
      <x:c r="C100" t="str">
        <x:v>Customer 21</x:v>
      </x:c>
      <x:c r="D100" t="str">
        <x:v>SMB</x:v>
      </x:c>
      <x:c r="E100" t="str">
        <x:v>South</x:v>
      </x:c>
      <x:c r="F100" t="str">
        <x:v>Analytics Pro</x:v>
      </x:c>
      <x:c r="G100" t="n">
        <x:v>15</x:v>
      </x:c>
      <x:c r="H100" s="22" t="n">
        <x:v>454.69245799138844</x:v>
      </x:c>
      <x:c r="I100" s="24" t="n">
        <x:v>0.08</x:v>
      </x:c>
      <x:c r="J100" s="22" t="n">
        <x:v>6274.755920281161</x:v>
      </x:c>
      <x:c r="K100" s="22" t="n">
        <x:v>2443.03139914928</x:v>
      </x:c>
      <x:c r="L100" s="22" t="n">
        <x:v>3831.724521131881</x:v>
      </x:c>
      <x:c r="M100" s="24" t="n">
        <x:v>0.6106571426542736</x:v>
      </x:c>
    </x:row>
    <x:row r="101">
      <x:c r="A101" t="n">
        <x:v>10098</x:v>
      </x:c>
      <x:c r="B101" s="20" t="n">
        <x:v>46100</x:v>
      </x:c>
      <x:c r="C101" t="str">
        <x:v>Customer 28</x:v>
      </x:c>
      <x:c r="D101" t="str">
        <x:v>Enterprise</x:v>
      </x:c>
      <x:c r="E101" t="str">
        <x:v>West</x:v>
      </x:c>
      <x:c r="F101" t="str">
        <x:v>Data Connect</x:v>
      </x:c>
      <x:c r="G101" t="n">
        <x:v>44</x:v>
      </x:c>
      <x:c r="H101" s="22" t="n">
        <x:v>260.25996520347303</x:v>
      </x:c>
      <x:c r="I101" s="24" t="n">
        <x:v>0.02</x:v>
      </x:c>
      <x:c r="J101" s="22" t="n">
        <x:v>11222.409699573756</x:v>
      </x:c>
      <x:c r="K101" s="22" t="n">
        <x:v>5198.344445195876</x:v>
      </x:c>
      <x:c r="L101" s="22" t="n">
        <x:v>6024.065254377881</x:v>
      </x:c>
      <x:c r="M101" s="24" t="n">
        <x:v>0.5367889264109368</x:v>
      </x:c>
    </x:row>
    <x:row r="102">
      <x:c r="A102" t="n">
        <x:v>10099</x:v>
      </x:c>
      <x:c r="B102" s="20" t="n">
        <x:v>46103</x:v>
      </x:c>
      <x:c r="C102" t="str">
        <x:v>Customer 05</x:v>
      </x:c>
      <x:c r="D102" t="str">
        <x:v>Mid-Market</x:v>
      </x:c>
      <x:c r="E102" t="str">
        <x:v>Northeast</x:v>
      </x:c>
      <x:c r="F102" t="str">
        <x:v>Reporting Suite</x:v>
      </x:c>
      <x:c r="G102" t="n">
        <x:v>38</x:v>
      </x:c>
      <x:c r="H102" s="22" t="n">
        <x:v>312.79394458100813</x:v>
      </x:c>
      <x:c r="I102" s="24" t="n">
        <x:v>0.03</x:v>
      </x:c>
      <x:c r="J102" s="22" t="n">
        <x:v>11529.58479725596</x:v>
      </x:c>
      <x:c r="K102" s="22" t="n">
        <x:v>4936.615102968165</x:v>
      </x:c>
      <x:c r="L102" s="22" t="n">
        <x:v>6592.969694287795</x:v>
      </x:c>
      <x:c r="M102" s="24" t="n">
        <x:v>0.5718306261867228</x:v>
      </x:c>
    </x:row>
    <x:row r="103">
      <x:c r="A103" t="n">
        <x:v>10100</x:v>
      </x:c>
      <x:c r="B103" s="20" t="n">
        <x:v>46106</x:v>
      </x:c>
      <x:c r="C103" t="str">
        <x:v>Customer 12</x:v>
      </x:c>
      <x:c r="D103" t="str">
        <x:v>SMB</x:v>
      </x:c>
      <x:c r="E103" t="str">
        <x:v>Midwest</x:v>
      </x:c>
      <x:c r="F103" t="str">
        <x:v>Finance Cloud</x:v>
      </x:c>
      <x:c r="G103" t="n">
        <x:v>21</x:v>
      </x:c>
      <x:c r="H103" s="22" t="n">
        <x:v>639.3423978604753</x:v>
      </x:c>
      <x:c r="I103" s="24" t="n">
        <x:v>0.03</x:v>
      </x:c>
      <x:c r="J103" s="22" t="n">
        <x:v>13023.404644417882</x:v>
      </x:c>
      <x:c r="K103" s="22" t="n">
        <x:v>4172.1274488203635</x:v>
      </x:c>
      <x:c r="L103" s="22" t="n">
        <x:v>8851.277195597519</x:v>
      </x:c>
      <x:c r="M103" s="24" t="n">
        <x:v>0.6796438747982365</x:v>
      </x:c>
    </x:row>
    <x:row r="104">
      <x:c r="A104" t="n">
        <x:v>10101</x:v>
      </x:c>
      <x:c r="B104" s="20" t="n">
        <x:v>46082</x:v>
      </x:c>
      <x:c r="C104" t="str">
        <x:v>Customer 19</x:v>
      </x:c>
      <x:c r="D104" t="str">
        <x:v>Enterprise</x:v>
      </x:c>
      <x:c r="E104" t="str">
        <x:v>South</x:v>
      </x:c>
      <x:c r="F104" t="str">
        <x:v>Analytics Pro</x:v>
      </x:c>
      <x:c r="G104" t="n">
        <x:v>41</x:v>
      </x:c>
      <x:c r="H104" s="22" t="n">
        <x:v>442.8374831976597</x:v>
      </x:c>
      <x:c r="I104" s="24" t="n">
        <x:v>0.08</x:v>
      </x:c>
      <x:c r="J104" s="22" t="n">
        <x:v>16703.829866215725</x:v>
      </x:c>
      <x:c r="K104" s="22" t="n">
        <x:v>6036.16928948304</x:v>
      </x:c>
      <x:c r="L104" s="22" t="n">
        <x:v>10667.660576732684</x:v>
      </x:c>
      <x:c r="M104" s="24" t="n">
        <x:v>0.6386356100470423</x:v>
      </x:c>
    </x:row>
    <x:row r="105">
      <x:c r="A105" t="n">
        <x:v>10102</x:v>
      </x:c>
      <x:c r="B105" s="20" t="n">
        <x:v>46085</x:v>
      </x:c>
      <x:c r="C105" t="str">
        <x:v>Customer 26</x:v>
      </x:c>
      <x:c r="D105" t="str">
        <x:v>Mid-Market</x:v>
      </x:c>
      <x:c r="E105" t="str">
        <x:v>West</x:v>
      </x:c>
      <x:c r="F105" t="str">
        <x:v>Data Connect</x:v>
      </x:c>
      <x:c r="G105" t="n">
        <x:v>21</x:v>
      </x:c>
      <x:c r="H105" s="22" t="n">
        <x:v>244.84012004503955</x:v>
      </x:c>
      <x:c r="I105" s="24" t="n">
        <x:v>0.05</x:v>
      </x:c>
      <x:c r="J105" s="22" t="n">
        <x:v>4884.560394898538</x:v>
      </x:c>
      <x:c r="K105" s="22" t="n">
        <x:v>2339.0493962415117</x:v>
      </x:c>
      <x:c r="L105" s="22" t="n">
        <x:v>2545.5109986570264</x:v>
      </x:c>
      <x:c r="M105" s="24" t="n">
        <x:v>0.5211341027363634</x:v>
      </x:c>
    </x:row>
    <x:row r="106">
      <x:c r="A106" t="n">
        <x:v>10103</x:v>
      </x:c>
      <x:c r="B106" s="20" t="n">
        <x:v>46088</x:v>
      </x:c>
      <x:c r="C106" t="str">
        <x:v>Customer 03</x:v>
      </x:c>
      <x:c r="D106" t="str">
        <x:v>SMB</x:v>
      </x:c>
      <x:c r="E106" t="str">
        <x:v>Northeast</x:v>
      </x:c>
      <x:c r="F106" t="str">
        <x:v>Reporting Suite</x:v>
      </x:c>
      <x:c r="G106" t="n">
        <x:v>25</x:v>
      </x:c>
      <x:c r="H106" s="22" t="n">
        <x:v>311.6731953938542</x:v>
      </x:c>
      <x:c r="I106" s="24" t="n">
        <x:v>0.08</x:v>
      </x:c>
      <x:c r="J106" s="22" t="n">
        <x:v>7168.483494058647</x:v>
      </x:c>
      <x:c r="K106" s="22" t="n">
        <x:v>3130.378235890035</x:v>
      </x:c>
      <x:c r="L106" s="22" t="n">
        <x:v>4038.105258168612</x:v>
      </x:c>
      <x:c r="M106" s="24" t="n">
        <x:v>0.5633137415347972</x:v>
      </x:c>
    </x:row>
    <x:row r="107">
      <x:c r="A107" t="n">
        <x:v>10104</x:v>
      </x:c>
      <x:c r="B107" s="20" t="n">
        <x:v>46091</x:v>
      </x:c>
      <x:c r="C107" t="str">
        <x:v>Customer 10</x:v>
      </x:c>
      <x:c r="D107" t="str">
        <x:v>Enterprise</x:v>
      </x:c>
      <x:c r="E107" t="str">
        <x:v>Midwest</x:v>
      </x:c>
      <x:c r="F107" t="str">
        <x:v>Finance Cloud</x:v>
      </x:c>
      <x:c r="G107" t="n">
        <x:v>38</x:v>
      </x:c>
      <x:c r="H107" s="22" t="n">
        <x:v>653.7433134242195</x:v>
      </x:c>
      <x:c r="I107" s="24" t="n">
        <x:v>0.02</x:v>
      </x:c>
      <x:c r="J107" s="22" t="n">
        <x:v>24345.400991917933</x:v>
      </x:c>
      <x:c r="K107" s="22" t="n">
        <x:v>7705.183262274605</x:v>
      </x:c>
      <x:c r="L107" s="22" t="n">
        <x:v>16640.21772964333</x:v>
      </x:c>
      <x:c r="M107" s="24" t="n">
        <x:v>0.6835055925005082</x:v>
      </x:c>
    </x:row>
    <x:row r="108">
      <x:c r="A108" t="n">
        <x:v>10105</x:v>
      </x:c>
      <x:c r="B108" s="20" t="n">
        <x:v>46094</x:v>
      </x:c>
      <x:c r="C108" t="str">
        <x:v>Customer 17</x:v>
      </x:c>
      <x:c r="D108" t="str">
        <x:v>Mid-Market</x:v>
      </x:c>
      <x:c r="E108" t="str">
        <x:v>South</x:v>
      </x:c>
      <x:c r="F108" t="str">
        <x:v>Analytics Pro</x:v>
      </x:c>
      <x:c r="G108" t="n">
        <x:v>17</x:v>
      </x:c>
      <x:c r="H108" s="22" t="n">
        <x:v>430.78246693210303</x:v>
      </x:c>
      <x:c r="I108" s="24" t="n">
        <x:v>0.05</x:v>
      </x:c>
      <x:c r="J108" s="22" t="n">
        <x:v>6957.136840953464</x:v>
      </x:c>
      <x:c r="K108" s="22" t="n">
        <x:v>2704.8051342773947</x:v>
      </x:c>
      <x:c r="L108" s="22" t="n">
        <x:v>4252.33170667607</x:v>
      </x:c>
      <x:c r="M108" s="24" t="n">
        <x:v>0.6112186383404951</x:v>
      </x:c>
    </x:row>
    <x:row r="109">
      <x:c r="A109" t="n">
        <x:v>10106</x:v>
      </x:c>
      <x:c r="B109" s="20" t="n">
        <x:v>46097</x:v>
      </x:c>
      <x:c r="C109" t="str">
        <x:v>Customer 24</x:v>
      </x:c>
      <x:c r="D109" t="str">
        <x:v>SMB</x:v>
      </x:c>
      <x:c r="E109" t="str">
        <x:v>West</x:v>
      </x:c>
      <x:c r="F109" t="str">
        <x:v>Data Connect</x:v>
      </x:c>
      <x:c r="G109" t="n">
        <x:v>10</x:v>
      </x:c>
      <x:c r="H109" s="22" t="n">
        <x:v>247.5314654432878</x:v>
      </x:c>
      <x:c r="I109" s="24" t="n">
        <x:v>0.02</x:v>
      </x:c>
      <x:c r="J109" s="22" t="n">
        <x:v>2425.8083613442204</x:v>
      </x:c>
      <x:c r="K109" s="22" t="n">
        <x:v>1159.39700310293</x:v>
      </x:c>
      <x:c r="L109" s="22" t="n">
        <x:v>1266.4113582412904</x:v>
      </x:c>
      <x:c r="M109" s="24" t="n">
        <x:v>0.5220574627500789</x:v>
      </x:c>
    </x:row>
    <x:row r="110">
      <x:c r="A110" t="n">
        <x:v>10107</x:v>
      </x:c>
      <x:c r="B110" s="20" t="n">
        <x:v>46100</x:v>
      </x:c>
      <x:c r="C110" t="str">
        <x:v>Customer 01</x:v>
      </x:c>
      <x:c r="D110" t="str">
        <x:v>Enterprise</x:v>
      </x:c>
      <x:c r="E110" t="str">
        <x:v>Northeast</x:v>
      </x:c>
      <x:c r="F110" t="str">
        <x:v>Reporting Suite</x:v>
      </x:c>
      <x:c r="G110" t="n">
        <x:v>42</x:v>
      </x:c>
      <x:c r="H110" s="22" t="n">
        <x:v>323.8695970182648</x:v>
      </x:c>
      <x:c r="I110" s="24" t="n">
        <x:v>0</x:v>
      </x:c>
      <x:c r="J110" s="22" t="n">
        <x:v>13602.523074767123</x:v>
      </x:c>
      <x:c r="K110" s="22" t="n">
        <x:v>5929.627817597555</x:v>
      </x:c>
      <x:c r="L110" s="22" t="n">
        <x:v>7672.895257169568</x:v>
      </x:c>
      <x:c r="M110" s="24" t="n">
        <x:v>0.5640788267731668</x:v>
      </x:c>
    </x:row>
    <x:row r="111">
      <x:c r="A111" t="n">
        <x:v>10108</x:v>
      </x:c>
      <x:c r="B111" s="20" t="n">
        <x:v>46103</x:v>
      </x:c>
      <x:c r="C111" t="str">
        <x:v>Customer 08</x:v>
      </x:c>
      <x:c r="D111" t="str">
        <x:v>Mid-Market</x:v>
      </x:c>
      <x:c r="E111" t="str">
        <x:v>Midwest</x:v>
      </x:c>
      <x:c r="F111" t="str">
        <x:v>Finance Cloud</x:v>
      </x:c>
      <x:c r="G111" t="n">
        <x:v>39</x:v>
      </x:c>
      <x:c r="H111" s="22" t="n">
        <x:v>689.6764379700223</x:v>
      </x:c>
      <x:c r="I111" s="24" t="n">
        <x:v>0.03</x:v>
      </x:c>
      <x:c r="J111" s="22" t="n">
        <x:v>26090.459648405944</x:v>
      </x:c>
      <x:c r="K111" s="22" t="n">
        <x:v>7989.734507859418</x:v>
      </x:c>
      <x:c r="L111" s="22" t="n">
        <x:v>18100.725140546525</x:v>
      </x:c>
      <x:c r="M111" s="24" t="n">
        <x:v>0.6937679667001355</x:v>
      </x:c>
    </x:row>
    <x:row r="112">
      <x:c r="A112" t="n">
        <x:v>10109</x:v>
      </x:c>
      <x:c r="B112" s="20" t="n">
        <x:v>46106</x:v>
      </x:c>
      <x:c r="C112" t="str">
        <x:v>Customer 15</x:v>
      </x:c>
      <x:c r="D112" t="str">
        <x:v>SMB</x:v>
      </x:c>
      <x:c r="E112" t="str">
        <x:v>South</x:v>
      </x:c>
      <x:c r="F112" t="str">
        <x:v>Analytics Pro</x:v>
      </x:c>
      <x:c r="G112" t="n">
        <x:v>16</x:v>
      </x:c>
      <x:c r="H112" s="22" t="n">
        <x:v>419.35426614819534</x:v>
      </x:c>
      <x:c r="I112" s="24" t="n">
        <x:v>0.05</x:v>
      </x:c>
      <x:c r="J112" s="22" t="n">
        <x:v>6374.184845452569</x:v>
      </x:c>
      <x:c r="K112" s="22" t="n">
        <x:v>2457.6542849108105</x:v>
      </x:c>
      <x:c r="L112" s="22" t="n">
        <x:v>3916.5305605417584</x:v>
      </x:c>
      <x:c r="M112" s="24" t="n">
        <x:v>0.614436301346966</x:v>
      </x:c>
    </x:row>
    <x:row r="113">
      <x:c r="A113" t="n">
        <x:v>10110</x:v>
      </x:c>
      <x:c r="B113" s="20" t="n">
        <x:v>46082</x:v>
      </x:c>
      <x:c r="C113" t="str">
        <x:v>Customer 22</x:v>
      </x:c>
      <x:c r="D113" t="str">
        <x:v>Enterprise</x:v>
      </x:c>
      <x:c r="E113" t="str">
        <x:v>West</x:v>
      </x:c>
      <x:c r="F113" t="str">
        <x:v>Data Connect</x:v>
      </x:c>
      <x:c r="G113" t="n">
        <x:v>46</x:v>
      </x:c>
      <x:c r="H113" s="22" t="n">
        <x:v>255.16446775210184</x:v>
      </x:c>
      <x:c r="I113" s="24" t="n">
        <x:v>0.05</x:v>
      </x:c>
      <x:c r="J113" s="22" t="n">
        <x:v>11150.68724076685</x:v>
      </x:c>
      <x:c r="K113" s="22" t="n">
        <x:v>5193.120926810387</x:v>
      </x:c>
      <x:c r="L113" s="22" t="n">
        <x:v>5957.566313956464</x:v>
      </x:c>
      <x:c r="M113" s="24" t="n">
        <x:v>0.5342779494501141</x:v>
      </x:c>
    </x:row>
    <x:row r="114">
      <x:c r="A114" t="n">
        <x:v>10111</x:v>
      </x:c>
      <x:c r="B114" s="20" t="n">
        <x:v>46085</x:v>
      </x:c>
      <x:c r="C114" t="str">
        <x:v>Customer 29</x:v>
      </x:c>
      <x:c r="D114" t="str">
        <x:v>Mid-Market</x:v>
      </x:c>
      <x:c r="E114" t="str">
        <x:v>Northeast</x:v>
      </x:c>
      <x:c r="F114" t="str">
        <x:v>Reporting Suite</x:v>
      </x:c>
      <x:c r="G114" t="n">
        <x:v>24</x:v>
      </x:c>
      <x:c r="H114" s="22" t="n">
        <x:v>326.8235094617942</x:v>
      </x:c>
      <x:c r="I114" s="24" t="n">
        <x:v>0.05</x:v>
      </x:c>
      <x:c r="J114" s="22" t="n">
        <x:v>7451.576015728907</x:v>
      </x:c>
      <x:c r="K114" s="22" t="n">
        <x:v>3092.274710594328</x:v>
      </x:c>
      <x:c r="L114" s="22" t="n">
        <x:v>4359.301305134579</x:v>
      </x:c>
      <x:c r="M114" s="24" t="n">
        <x:v>0.5850173568561732</x:v>
      </x:c>
    </x:row>
    <x:row r="115">
      <x:c r="A115" t="n">
        <x:v>10112</x:v>
      </x:c>
      <x:c r="B115" s="20" t="n">
        <x:v>46088</x:v>
      </x:c>
      <x:c r="C115" t="str">
        <x:v>Customer 06</x:v>
      </x:c>
      <x:c r="D115" t="str">
        <x:v>SMB</x:v>
      </x:c>
      <x:c r="E115" t="str">
        <x:v>Midwest</x:v>
      </x:c>
      <x:c r="F115" t="str">
        <x:v>Finance Cloud</x:v>
      </x:c>
      <x:c r="G115" t="n">
        <x:v>12</x:v>
      </x:c>
      <x:c r="H115" s="22" t="n">
        <x:v>641.1858818646349</x:v>
      </x:c>
      <x:c r="I115" s="24" t="n">
        <x:v>0</x:v>
      </x:c>
      <x:c r="J115" s="22" t="n">
        <x:v>7694.230582375619</x:v>
      </x:c>
      <x:c r="K115" s="22" t="n">
        <x:v>2613.2145485254878</x:v>
      </x:c>
      <x:c r="L115" s="22" t="n">
        <x:v>5081.016033850131</x:v>
      </x:c>
      <x:c r="M115" s="24" t="n">
        <x:v>0.6603670086894317</x:v>
      </x:c>
    </x:row>
    <x:row r="116">
      <x:c r="A116" t="n">
        <x:v>10113</x:v>
      </x:c>
      <x:c r="B116" s="20" t="n">
        <x:v>46091</x:v>
      </x:c>
      <x:c r="C116" t="str">
        <x:v>Customer 13</x:v>
      </x:c>
      <x:c r="D116" t="str">
        <x:v>Enterprise</x:v>
      </x:c>
      <x:c r="E116" t="str">
        <x:v>South</x:v>
      </x:c>
      <x:c r="F116" t="str">
        <x:v>Analytics Pro</x:v>
      </x:c>
      <x:c r="G116" t="n">
        <x:v>55</x:v>
      </x:c>
      <x:c r="H116" s="22" t="n">
        <x:v>447.0533601561054</x:v>
      </x:c>
      <x:c r="I116" s="24" t="n">
        <x:v>0.02</x:v>
      </x:c>
      <x:c r="J116" s="22" t="n">
        <x:v>24096.17611241408</x:v>
      </x:c>
      <x:c r="K116" s="22" t="n">
        <x:v>8766.052342818433</x:v>
      </x:c>
      <x:c r="L116" s="22" t="n">
        <x:v>15330.123769595646</x:v>
      </x:c>
      <x:c r="M116" s="24" t="n">
        <x:v>0.6362056659146734</x:v>
      </x:c>
    </x:row>
    <x:row r="117">
      <x:c r="A117" t="n">
        <x:v>10114</x:v>
      </x:c>
      <x:c r="B117" s="20" t="n">
        <x:v>46094</x:v>
      </x:c>
      <x:c r="C117" t="str">
        <x:v>Customer 20</x:v>
      </x:c>
      <x:c r="D117" t="str">
        <x:v>Mid-Market</x:v>
      </x:c>
      <x:c r="E117" t="str">
        <x:v>West</x:v>
      </x:c>
      <x:c r="F117" t="str">
        <x:v>Data Connect</x:v>
      </x:c>
      <x:c r="G117" t="n">
        <x:v>15</x:v>
      </x:c>
      <x:c r="H117" s="22" t="n">
        <x:v>260.7851046781803</x:v>
      </x:c>
      <x:c r="I117" s="24" t="n">
        <x:v>0.08</x:v>
      </x:c>
      <x:c r="J117" s="22" t="n">
        <x:v>3598.834444558888</x:v>
      </x:c>
      <x:c r="K117" s="22" t="n">
        <x:v>1685.0732341197888</x:v>
      </x:c>
      <x:c r="L117" s="22" t="n">
        <x:v>1913.7612104390994</x:v>
      </x:c>
      <x:c r="M117" s="24" t="n">
        <x:v>0.5317725057712874</x:v>
      </x:c>
    </x:row>
    <x:row r="118">
      <x:c r="A118" t="n">
        <x:v>10115</x:v>
      </x:c>
      <x:c r="B118" s="20" t="n">
        <x:v>46113</x:v>
      </x:c>
      <x:c r="C118" t="str">
        <x:v>Customer 13</x:v>
      </x:c>
      <x:c r="D118" t="str">
        <x:v>SMB</x:v>
      </x:c>
      <x:c r="E118" t="str">
        <x:v>Northeast</x:v>
      </x:c>
      <x:c r="F118" t="str">
        <x:v>Analytics Pro</x:v>
      </x:c>
      <x:c r="G118" t="n">
        <x:v>4</x:v>
      </x:c>
      <x:c r="H118" s="22" t="n">
        <x:v>416.9531323351108</x:v>
      </x:c>
      <x:c r="I118" s="24" t="n">
        <x:v>0.02</x:v>
      </x:c>
      <x:c r="J118" s="22" t="n">
        <x:v>1634.4562787536343</x:v>
      </x:c>
      <x:c r="K118" s="22" t="n">
        <x:v>645.7259987866579</x:v>
      </x:c>
      <x:c r="L118" s="22" t="n">
        <x:v>988.7302799669764</x:v>
      </x:c>
      <x:c r="M118" s="24" t="n">
        <x:v>0.6049291699138868</x:v>
      </x:c>
    </x:row>
    <x:row r="119">
      <x:c r="A119" t="n">
        <x:v>10116</x:v>
      </x:c>
      <x:c r="B119" s="20" t="n">
        <x:v>46116</x:v>
      </x:c>
      <x:c r="C119" t="str">
        <x:v>Customer 20</x:v>
      </x:c>
      <x:c r="D119" t="str">
        <x:v>Enterprise</x:v>
      </x:c>
      <x:c r="E119" t="str">
        <x:v>Midwest</x:v>
      </x:c>
      <x:c r="F119" t="str">
        <x:v>Data Connect</x:v>
      </x:c>
      <x:c r="G119" t="n">
        <x:v>38</x:v>
      </x:c>
      <x:c r="H119" s="22" t="n">
        <x:v>254.61928824642646</x:v>
      </x:c>
      <x:c r="I119" s="24" t="n">
        <x:v>0.08</x:v>
      </x:c>
      <x:c r="J119" s="22" t="n">
        <x:v>8901.49031709507</x:v>
      </x:c>
      <x:c r="K119" s="22" t="n">
        <x:v>4226.183843464673</x:v>
      </x:c>
      <x:c r="L119" s="22" t="n">
        <x:v>4675.306473630396</x:v>
      </x:c>
      <x:c r="M119" s="24" t="n">
        <x:v>0.525227384076529</x:v>
      </x:c>
    </x:row>
    <x:row r="120">
      <x:c r="A120" t="n">
        <x:v>10117</x:v>
      </x:c>
      <x:c r="B120" s="20" t="n">
        <x:v>46119</x:v>
      </x:c>
      <x:c r="C120" t="str">
        <x:v>Customer 27</x:v>
      </x:c>
      <x:c r="D120" t="str">
        <x:v>Mid-Market</x:v>
      </x:c>
      <x:c r="E120" t="str">
        <x:v>South</x:v>
      </x:c>
      <x:c r="F120" t="str">
        <x:v>Reporting Suite</x:v>
      </x:c>
      <x:c r="G120" t="n">
        <x:v>44</x:v>
      </x:c>
      <x:c r="H120" s="22" t="n">
        <x:v>326.75829306300716</x:v>
      </x:c>
      <x:c r="I120" s="24" t="n">
        <x:v>0.08</x:v>
      </x:c>
      <x:c r="J120" s="22" t="n">
        <x:v>13227.17570319053</x:v>
      </x:c>
      <x:c r="K120" s="22" t="n">
        <x:v>5506.963151294357</x:v>
      </x:c>
      <x:c r="L120" s="22" t="n">
        <x:v>7720.212551896174</x:v>
      </x:c>
      <x:c r="M120" s="24" t="n">
        <x:v>0.5836629621570673</x:v>
      </x:c>
    </x:row>
    <x:row r="121">
      <x:c r="A121" t="n">
        <x:v>10118</x:v>
      </x:c>
      <x:c r="B121" s="20" t="n">
        <x:v>46122</x:v>
      </x:c>
      <x:c r="C121" t="str">
        <x:v>Customer 04</x:v>
      </x:c>
      <x:c r="D121" t="str">
        <x:v>SMB</x:v>
      </x:c>
      <x:c r="E121" t="str">
        <x:v>West</x:v>
      </x:c>
      <x:c r="F121" t="str">
        <x:v>Finance Cloud</x:v>
      </x:c>
      <x:c r="G121" t="n">
        <x:v>10</x:v>
      </x:c>
      <x:c r="H121" s="22" t="n">
        <x:v>709.0040557345999</x:v>
      </x:c>
      <x:c r="I121" s="24" t="n">
        <x:v>0.05</x:v>
      </x:c>
      <x:c r="J121" s="22" t="n">
        <x:v>6735.538529478699</x:v>
      </x:c>
      <x:c r="K121" s="22" t="n">
        <x:v>2289.142853610623</x:v>
      </x:c>
      <x:c r="L121" s="22" t="n">
        <x:v>4446.395675868076</x:v>
      </x:c>
      <x:c r="M121" s="24" t="n">
        <x:v>0.660139594838337</x:v>
      </x:c>
    </x:row>
    <x:row r="122">
      <x:c r="A122" t="n">
        <x:v>10119</x:v>
      </x:c>
      <x:c r="B122" s="20" t="n">
        <x:v>46125</x:v>
      </x:c>
      <x:c r="C122" t="str">
        <x:v>Customer 11</x:v>
      </x:c>
      <x:c r="D122" t="str">
        <x:v>Enterprise</x:v>
      </x:c>
      <x:c r="E122" t="str">
        <x:v>Northeast</x:v>
      </x:c>
      <x:c r="F122" t="str">
        <x:v>Analytics Pro</x:v>
      </x:c>
      <x:c r="G122" t="n">
        <x:v>44</x:v>
      </x:c>
      <x:c r="H122" s="22" t="n">
        <x:v>424.17778420434246</x:v>
      </x:c>
      <x:c r="I122" s="24" t="n">
        <x:v>0.02</x:v>
      </x:c>
      <x:c r="J122" s="22" t="n">
        <x:v>18290.54605489125</x:v>
      </x:c>
      <x:c r="K122" s="22" t="n">
        <x:v>7261.221390979724</x:v>
      </x:c>
      <x:c r="L122" s="22" t="n">
        <x:v>11029.324663911524</x:v>
      </x:c>
      <x:c r="M122" s="24" t="n">
        <x:v>0.6030068556079039</x:v>
      </x:c>
    </x:row>
    <x:row r="123">
      <x:c r="A123" t="n">
        <x:v>10120</x:v>
      </x:c>
      <x:c r="B123" s="20" t="n">
        <x:v>46128</x:v>
      </x:c>
      <x:c r="C123" t="str">
        <x:v>Customer 18</x:v>
      </x:c>
      <x:c r="D123" t="str">
        <x:v>Mid-Market</x:v>
      </x:c>
      <x:c r="E123" t="str">
        <x:v>Midwest</x:v>
      </x:c>
      <x:c r="F123" t="str">
        <x:v>Data Connect</x:v>
      </x:c>
      <x:c r="G123" t="n">
        <x:v>18</x:v>
      </x:c>
      <x:c r="H123" s="22" t="n">
        <x:v>242.93002964897195</x:v>
      </x:c>
      <x:c r="I123" s="24" t="n">
        <x:v>0.08</x:v>
      </x:c>
      <x:c r="J123" s="22" t="n">
        <x:v>4022.921290986976</x:v>
      </x:c>
      <x:c r="K123" s="22" t="n">
        <x:v>1887.6747573652422</x:v>
      </x:c>
      <x:c r="L123" s="22" t="n">
        <x:v>2135.2465336217338</x:v>
      </x:c>
      <x:c r="M123" s="24" t="n">
        <x:v>0.5307701491464866</x:v>
      </x:c>
    </x:row>
    <x:row r="124">
      <x:c r="A124" t="n">
        <x:v>10121</x:v>
      </x:c>
      <x:c r="B124" s="20" t="n">
        <x:v>46131</x:v>
      </x:c>
      <x:c r="C124" t="str">
        <x:v>Customer 25</x:v>
      </x:c>
      <x:c r="D124" t="str">
        <x:v>SMB</x:v>
      </x:c>
      <x:c r="E124" t="str">
        <x:v>South</x:v>
      </x:c>
      <x:c r="F124" t="str">
        <x:v>Reporting Suite</x:v>
      </x:c>
      <x:c r="G124" t="n">
        <x:v>16</x:v>
      </x:c>
      <x:c r="H124" s="22" t="n">
        <x:v>330.66162364469653</x:v>
      </x:c>
      <x:c r="I124" s="24" t="n">
        <x:v>0.02</x:v>
      </x:c>
      <x:c r="J124" s="22" t="n">
        <x:v>5184.774258748842</x:v>
      </x:c>
      <x:c r="K124" s="22" t="n">
        <x:v>2118.4249068514373</x:v>
      </x:c>
      <x:c r="L124" s="22" t="n">
        <x:v>3066.3493518974046</x:v>
      </x:c>
      <x:c r="M124" s="24" t="n">
        <x:v>0.5914142446458908</x:v>
      </x:c>
    </x:row>
    <x:row r="125">
      <x:c r="A125" t="n">
        <x:v>10122</x:v>
      </x:c>
      <x:c r="B125" s="20" t="n">
        <x:v>46134</x:v>
      </x:c>
      <x:c r="C125" t="str">
        <x:v>Customer 02</x:v>
      </x:c>
      <x:c r="D125" t="str">
        <x:v>Enterprise</x:v>
      </x:c>
      <x:c r="E125" t="str">
        <x:v>West</x:v>
      </x:c>
      <x:c r="F125" t="str">
        <x:v>Finance Cloud</x:v>
      </x:c>
      <x:c r="G125" t="n">
        <x:v>53</x:v>
      </x:c>
      <x:c r="H125" s="22" t="n">
        <x:v>661.3748401901299</x:v>
      </x:c>
      <x:c r="I125" s="24" t="n">
        <x:v>0.08</x:v>
      </x:c>
      <x:c r="J125" s="22" t="n">
        <x:v>32248.637207670734</x:v>
      </x:c>
      <x:c r="K125" s="22" t="n">
        <x:v>9643.27395870517</x:v>
      </x:c>
      <x:c r="L125" s="22" t="n">
        <x:v>22605.363248965565</x:v>
      </x:c>
      <x:c r="M125" s="24" t="n">
        <x:v>0.7009711171171166</x:v>
      </x:c>
    </x:row>
    <x:row r="126">
      <x:c r="A126" t="n">
        <x:v>10123</x:v>
      </x:c>
      <x:c r="B126" s="20" t="n">
        <x:v>46137</x:v>
      </x:c>
      <x:c r="C126" t="str">
        <x:v>Customer 09</x:v>
      </x:c>
      <x:c r="D126" t="str">
        <x:v>Mid-Market</x:v>
      </x:c>
      <x:c r="E126" t="str">
        <x:v>Northeast</x:v>
      </x:c>
      <x:c r="F126" t="str">
        <x:v>Analytics Pro</x:v>
      </x:c>
      <x:c r="G126" t="n">
        <x:v>32</x:v>
      </x:c>
      <x:c r="H126" s="22" t="n">
        <x:v>418.6014408529078</x:v>
      </x:c>
      <x:c r="I126" s="24" t="n">
        <x:v>0.02</x:v>
      </x:c>
      <x:c r="J126" s="22" t="n">
        <x:v>13127.341185147188</x:v>
      </x:c>
      <x:c r="K126" s="22" t="n">
        <x:v>4702.3638225898</x:v>
      </x:c>
      <x:c r="L126" s="22" t="n">
        <x:v>8424.977362557387</x:v>
      </x:c>
      <x:c r="M126" s="24" t="n">
        <x:v>0.641788557464306</x:v>
      </x:c>
    </x:row>
    <x:row r="127">
      <x:c r="A127" t="n">
        <x:v>10124</x:v>
      </x:c>
      <x:c r="B127" s="20" t="n">
        <x:v>46113</x:v>
      </x:c>
      <x:c r="C127" t="str">
        <x:v>Customer 16</x:v>
      </x:c>
      <x:c r="D127" t="str">
        <x:v>SMB</x:v>
      </x:c>
      <x:c r="E127" t="str">
        <x:v>Midwest</x:v>
      </x:c>
      <x:c r="F127" t="str">
        <x:v>Data Connect</x:v>
      </x:c>
      <x:c r="G127" t="n">
        <x:v>22</x:v>
      </x:c>
      <x:c r="H127" s="22" t="n">
        <x:v>246.83241632025363</x:v>
      </x:c>
      <x:c r="I127" s="24" t="n">
        <x:v>0.08</x:v>
      </x:c>
      <x:c r="J127" s="22" t="n">
        <x:v>4995.888106321933</x:v>
      </x:c>
      <x:c r="K127" s="22" t="n">
        <x:v>2339.5554915911775</x:v>
      </x:c>
      <x:c r="L127" s="22" t="n">
        <x:v>2656.3326147307557</x:v>
      </x:c>
      <x:c r="M127" s="24" t="n">
        <x:v>0.5317037848324425</x:v>
      </x:c>
    </x:row>
    <x:row r="128">
      <x:c r="A128" t="n">
        <x:v>10125</x:v>
      </x:c>
      <x:c r="B128" s="20" t="n">
        <x:v>46116</x:v>
      </x:c>
      <x:c r="C128" t="str">
        <x:v>Customer 23</x:v>
      </x:c>
      <x:c r="D128" t="str">
        <x:v>Enterprise</x:v>
      </x:c>
      <x:c r="E128" t="str">
        <x:v>South</x:v>
      </x:c>
      <x:c r="F128" t="str">
        <x:v>Reporting Suite</x:v>
      </x:c>
      <x:c r="G128" t="n">
        <x:v>58</x:v>
      </x:c>
      <x:c r="H128" s="22" t="n">
        <x:v>318.1240789284587</x:v>
      </x:c>
      <x:c r="I128" s="24" t="n">
        <x:v>0.08</x:v>
      </x:c>
      <x:c r="J128" s="22" t="n">
        <x:v>16975.10085162256</x:v>
      </x:c>
      <x:c r="K128" s="22" t="n">
        <x:v>7508.139757995065</x:v>
      </x:c>
      <x:c r="L128" s="22" t="n">
        <x:v>9466.961093627495</x:v>
      </x:c>
      <x:c r="M128" s="24" t="n">
        <x:v>0.5576968983204951</x:v>
      </x:c>
    </x:row>
    <x:row r="129">
      <x:c r="A129" t="n">
        <x:v>10126</x:v>
      </x:c>
      <x:c r="B129" s="20" t="n">
        <x:v>46119</x:v>
      </x:c>
      <x:c r="C129" t="str">
        <x:v>Customer 30</x:v>
      </x:c>
      <x:c r="D129" t="str">
        <x:v>Mid-Market</x:v>
      </x:c>
      <x:c r="E129" t="str">
        <x:v>West</x:v>
      </x:c>
      <x:c r="F129" t="str">
        <x:v>Finance Cloud</x:v>
      </x:c>
      <x:c r="G129" t="n">
        <x:v>33</x:v>
      </x:c>
      <x:c r="H129" s="22" t="n">
        <x:v>637.0244323305644</x:v>
      </x:c>
      <x:c r="I129" s="24" t="n">
        <x:v>0.08</x:v>
      </x:c>
      <x:c r="J129" s="22" t="n">
        <x:v>19340.061765555936</x:v>
      </x:c>
      <x:c r="K129" s="22" t="n">
        <x:v>6073.147850534385</x:v>
      </x:c>
      <x:c r="L129" s="22" t="n">
        <x:v>13266.913915021552</x:v>
      </x:c>
      <x:c r="M129" s="24" t="n">
        <x:v>0.6859809485536145</x:v>
      </x:c>
    </x:row>
    <x:row r="130">
      <x:c r="A130" t="n">
        <x:v>10127</x:v>
      </x:c>
      <x:c r="B130" s="20" t="n">
        <x:v>46122</x:v>
      </x:c>
      <x:c r="C130" t="str">
        <x:v>Customer 07</x:v>
      </x:c>
      <x:c r="D130" t="str">
        <x:v>SMB</x:v>
      </x:c>
      <x:c r="E130" t="str">
        <x:v>Northeast</x:v>
      </x:c>
      <x:c r="F130" t="str">
        <x:v>Analytics Pro</x:v>
      </x:c>
      <x:c r="G130" t="n">
        <x:v>23</x:v>
      </x:c>
      <x:c r="H130" s="22" t="n">
        <x:v>450.0861521551128</x:v>
      </x:c>
      <x:c r="I130" s="24" t="n">
        <x:v>0.05</x:v>
      </x:c>
      <x:c r="J130" s="22" t="n">
        <x:v>9834.382424589216</x:v>
      </x:c>
      <x:c r="K130" s="22" t="n">
        <x:v>3755.8591052620964</x:v>
      </x:c>
      <x:c r="L130" s="22" t="n">
        <x:v>6078.52331932712</x:v>
      </x:c>
      <x:c r="M130" s="24" t="n">
        <x:v>0.6180889716194885</x:v>
      </x:c>
    </x:row>
    <x:row r="131">
      <x:c r="A131" t="n">
        <x:v>10128</x:v>
      </x:c>
      <x:c r="B131" s="20" t="n">
        <x:v>46125</x:v>
      </x:c>
      <x:c r="C131" t="str">
        <x:v>Customer 14</x:v>
      </x:c>
      <x:c r="D131" t="str">
        <x:v>Enterprise</x:v>
      </x:c>
      <x:c r="E131" t="str">
        <x:v>Midwest</x:v>
      </x:c>
      <x:c r="F131" t="str">
        <x:v>Data Connect</x:v>
      </x:c>
      <x:c r="G131" t="n">
        <x:v>45</x:v>
      </x:c>
      <x:c r="H131" s="22" t="n">
        <x:v>256.62775938777446</x:v>
      </x:c>
      <x:c r="I131" s="24" t="n">
        <x:v>0.08</x:v>
      </x:c>
      <x:c r="J131" s="22" t="n">
        <x:v>10624.389238653863</x:v>
      </x:c>
      <x:c r="K131" s="22" t="n">
        <x:v>5204.7880720834355</x:v>
      </x:c>
      <x:c r="L131" s="22" t="n">
        <x:v>5419.601166570427</x:v>
      </x:c>
      <x:c r="M131" s="24" t="n">
        <x:v>0.5101094326300403</x:v>
      </x:c>
    </x:row>
    <x:row r="132">
      <x:c r="A132" t="n">
        <x:v>10129</x:v>
      </x:c>
      <x:c r="B132" s="20" t="n">
        <x:v>46128</x:v>
      </x:c>
      <x:c r="C132" t="str">
        <x:v>Customer 21</x:v>
      </x:c>
      <x:c r="D132" t="str">
        <x:v>Mid-Market</x:v>
      </x:c>
      <x:c r="E132" t="str">
        <x:v>South</x:v>
      </x:c>
      <x:c r="F132" t="str">
        <x:v>Reporting Suite</x:v>
      </x:c>
      <x:c r="G132" t="n">
        <x:v>21</x:v>
      </x:c>
      <x:c r="H132" s="22" t="n">
        <x:v>321.8445174560764</x:v>
      </x:c>
      <x:c r="I132" s="24" t="n">
        <x:v>0.05</x:v>
      </x:c>
      <x:c r="J132" s="22" t="n">
        <x:v>6420.798123248724</x:v>
      </x:c>
      <x:c r="K132" s="22" t="n">
        <x:v>2644.126255850597</x:v>
      </x:c>
      <x:c r="L132" s="22" t="n">
        <x:v>3776.671867398127</x:v>
      </x:c>
      <x:c r="M132" s="24" t="n">
        <x:v>0.5881935228150809</x:v>
      </x:c>
    </x:row>
    <x:row r="133">
      <x:c r="A133" t="n">
        <x:v>10130</x:v>
      </x:c>
      <x:c r="B133" s="20" t="n">
        <x:v>46131</x:v>
      </x:c>
      <x:c r="C133" t="str">
        <x:v>Customer 28</x:v>
      </x:c>
      <x:c r="D133" t="str">
        <x:v>SMB</x:v>
      </x:c>
      <x:c r="E133" t="str">
        <x:v>West</x:v>
      </x:c>
      <x:c r="F133" t="str">
        <x:v>Finance Cloud</x:v>
      </x:c>
      <x:c r="G133" t="n">
        <x:v>16</x:v>
      </x:c>
      <x:c r="H133" s="22" t="n">
        <x:v>690.5319897134998</x:v>
      </x:c>
      <x:c r="I133" s="24" t="n">
        <x:v>0.05</x:v>
      </x:c>
      <x:c r="J133" s="22" t="n">
        <x:v>10496.086243645197</x:v>
      </x:c>
      <x:c r="K133" s="22" t="n">
        <x:v>3476.3989516562237</x:v>
      </x:c>
      <x:c r="L133" s="22" t="n">
        <x:v>7019.687291988974</x:v>
      </x:c>
      <x:c r="M133" s="24" t="n">
        <x:v>0.6687909311186356</x:v>
      </x:c>
    </x:row>
    <x:row r="134">
      <x:c r="A134" t="n">
        <x:v>10131</x:v>
      </x:c>
      <x:c r="B134" s="20" t="n">
        <x:v>46134</x:v>
      </x:c>
      <x:c r="C134" t="str">
        <x:v>Customer 05</x:v>
      </x:c>
      <x:c r="D134" t="str">
        <x:v>Enterprise</x:v>
      </x:c>
      <x:c r="E134" t="str">
        <x:v>Northeast</x:v>
      </x:c>
      <x:c r="F134" t="str">
        <x:v>Analytics Pro</x:v>
      </x:c>
      <x:c r="G134" t="n">
        <x:v>54</x:v>
      </x:c>
      <x:c r="H134" s="22" t="n">
        <x:v>461.9975231736319</x:v>
      </x:c>
      <x:c r="I134" s="24" t="n">
        <x:v>0.08</x:v>
      </x:c>
      <x:c r="J134" s="22" t="n">
        <x:v>22952.036951266033</x:v>
      </x:c>
      <x:c r="K134" s="22" t="n">
        <x:v>8178.919867728005</x:v>
      </x:c>
      <x:c r="L134" s="22" t="n">
        <x:v>14773.117083538029</x:v>
      </x:c>
      <x:c r="M134" s="24" t="n">
        <x:v>0.6436516774047432</x:v>
      </x:c>
    </x:row>
    <x:row r="135">
      <x:c r="A135" t="n">
        <x:v>10132</x:v>
      </x:c>
      <x:c r="B135" s="20" t="n">
        <x:v>46137</x:v>
      </x:c>
      <x:c r="C135" t="str">
        <x:v>Customer 12</x:v>
      </x:c>
      <x:c r="D135" t="str">
        <x:v>Mid-Market</x:v>
      </x:c>
      <x:c r="E135" t="str">
        <x:v>Midwest</x:v>
      </x:c>
      <x:c r="F135" t="str">
        <x:v>Data Connect</x:v>
      </x:c>
      <x:c r="G135" t="n">
        <x:v>12</x:v>
      </x:c>
      <x:c r="H135" s="22" t="n">
        <x:v>246.42569471788687</x:v>
      </x:c>
      <x:c r="I135" s="24" t="n">
        <x:v>0.08</x:v>
      </x:c>
      <x:c r="J135" s="22" t="n">
        <x:v>2720.539669685471</x:v>
      </x:c>
      <x:c r="K135" s="22" t="n">
        <x:v>1300.8260099832644</x:v>
      </x:c>
      <x:c r="L135" s="22" t="n">
        <x:v>1419.7136597022065</x:v>
      </x:c>
      <x:c r="M135" s="24" t="n">
        <x:v>0.5218500121581919</x:v>
      </x:c>
    </x:row>
    <x:row r="136">
      <x:c r="A136" t="n">
        <x:v>10133</x:v>
      </x:c>
      <x:c r="B136" s="20" t="n">
        <x:v>46113</x:v>
      </x:c>
      <x:c r="C136" t="str">
        <x:v>Customer 19</x:v>
      </x:c>
      <x:c r="D136" t="str">
        <x:v>SMB</x:v>
      </x:c>
      <x:c r="E136" t="str">
        <x:v>South</x:v>
      </x:c>
      <x:c r="F136" t="str">
        <x:v>Reporting Suite</x:v>
      </x:c>
      <x:c r="G136" t="n">
        <x:v>23</x:v>
      </x:c>
      <x:c r="H136" s="22" t="n">
        <x:v>336.59274524526444</x:v>
      </x:c>
      <x:c r="I136" s="24" t="n">
        <x:v>0.02</x:v>
      </x:c>
      <x:c r="J136" s="22" t="n">
        <x:v>7586.80047782826</x:v>
      </x:c>
      <x:c r="K136" s="22" t="n">
        <x:v>3015.8611628111094</x:v>
      </x:c>
      <x:c r="L136" s="22" t="n">
        <x:v>4570.939315017151</x:v>
      </x:c>
      <x:c r="M136" s="24" t="n">
        <x:v>0.6024857683255687</x:v>
      </x:c>
    </x:row>
    <x:row r="137">
      <x:c r="A137" t="n">
        <x:v>10134</x:v>
      </x:c>
      <x:c r="B137" s="20" t="n">
        <x:v>46116</x:v>
      </x:c>
      <x:c r="C137" t="str">
        <x:v>Customer 26</x:v>
      </x:c>
      <x:c r="D137" t="str">
        <x:v>Enterprise</x:v>
      </x:c>
      <x:c r="E137" t="str">
        <x:v>West</x:v>
      </x:c>
      <x:c r="F137" t="str">
        <x:v>Finance Cloud</x:v>
      </x:c>
      <x:c r="G137" t="n">
        <x:v>49</x:v>
      </x:c>
      <x:c r="H137" s="22" t="n">
        <x:v>666.1929054629419</x:v>
      </x:c>
      <x:c r="I137" s="24" t="n">
        <x:v>0.02</x:v>
      </x:c>
      <x:c r="J137" s="22" t="n">
        <x:v>31990.58332033047</x:v>
      </x:c>
      <x:c r="K137" s="22" t="n">
        <x:v>10164.526911629377</x:v>
      </x:c>
      <x:c r="L137" s="22" t="n">
        <x:v>21826.056408701093</x:v>
      </x:c>
      <x:c r="M137" s="24" t="n">
        <x:v>0.682265033749176</x:v>
      </x:c>
    </x:row>
    <x:row r="138">
      <x:c r="A138" t="n">
        <x:v>10135</x:v>
      </x:c>
      <x:c r="B138" s="20" t="n">
        <x:v>46119</x:v>
      </x:c>
      <x:c r="C138" t="str">
        <x:v>Customer 03</x:v>
      </x:c>
      <x:c r="D138" t="str">
        <x:v>Mid-Market</x:v>
      </x:c>
      <x:c r="E138" t="str">
        <x:v>Northeast</x:v>
      </x:c>
      <x:c r="F138" t="str">
        <x:v>Analytics Pro</x:v>
      </x:c>
      <x:c r="G138" t="n">
        <x:v>19</x:v>
      </x:c>
      <x:c r="H138" s="22" t="n">
        <x:v>425.17709876532365</x:v>
      </x:c>
      <x:c r="I138" s="24" t="n">
        <x:v>0.05</x:v>
      </x:c>
      <x:c r="J138" s="22" t="n">
        <x:v>7674.446632714091</x:v>
      </x:c>
      <x:c r="K138" s="22" t="n">
        <x:v>2821.230774994348</x:v>
      </x:c>
      <x:c r="L138" s="22" t="n">
        <x:v>4853.215857719742</x:v>
      </x:c>
      <x:c r="M138" s="24" t="n">
        <x:v>0.6323864234108809</x:v>
      </x:c>
    </x:row>
    <x:row r="139">
      <x:c r="A139" t="n">
        <x:v>10136</x:v>
      </x:c>
      <x:c r="B139" s="20" t="n">
        <x:v>46122</x:v>
      </x:c>
      <x:c r="C139" t="str">
        <x:v>Customer 10</x:v>
      </x:c>
      <x:c r="D139" t="str">
        <x:v>SMB</x:v>
      </x:c>
      <x:c r="E139" t="str">
        <x:v>Midwest</x:v>
      </x:c>
      <x:c r="F139" t="str">
        <x:v>Data Connect</x:v>
      </x:c>
      <x:c r="G139" t="n">
        <x:v>30</x:v>
      </x:c>
      <x:c r="H139" s="22" t="n">
        <x:v>237.07725548367677</x:v>
      </x:c>
      <x:c r="I139" s="24" t="n">
        <x:v>0</x:v>
      </x:c>
      <x:c r="J139" s="22" t="n">
        <x:v>7112.317664510303</x:v>
      </x:c>
      <x:c r="K139" s="22" t="n">
        <x:v>3431.3462848694016</x:v>
      </x:c>
      <x:c r="L139" s="22" t="n">
        <x:v>3680.9713796409014</x:v>
      </x:c>
      <x:c r="M139" s="24" t="n">
        <x:v>0.5175487869458575</x:v>
      </x:c>
    </x:row>
    <x:row r="140">
      <x:c r="A140" t="n">
        <x:v>10137</x:v>
      </x:c>
      <x:c r="B140" s="20" t="n">
        <x:v>46125</x:v>
      </x:c>
      <x:c r="C140" t="str">
        <x:v>Customer 17</x:v>
      </x:c>
      <x:c r="D140" t="str">
        <x:v>Enterprise</x:v>
      </x:c>
      <x:c r="E140" t="str">
        <x:v>South</x:v>
      </x:c>
      <x:c r="F140" t="str">
        <x:v>Reporting Suite</x:v>
      </x:c>
      <x:c r="G140" t="n">
        <x:v>63</x:v>
      </x:c>
      <x:c r="H140" s="22" t="n">
        <x:v>311.73070714736565</x:v>
      </x:c>
      <x:c r="I140" s="24" t="n">
        <x:v>0</x:v>
      </x:c>
      <x:c r="J140" s="22" t="n">
        <x:v>19639.034550284036</x:v>
      </x:c>
      <x:c r="K140" s="22" t="n">
        <x:v>8524.5517900188</x:v>
      </x:c>
      <x:c r="L140" s="22" t="n">
        <x:v>11114.482760265235</x:v>
      </x:c>
      <x:c r="M140" s="24" t="n">
        <x:v>0.5659383475194553</x:v>
      </x:c>
    </x:row>
    <x:row r="141">
      <x:c r="A141" t="n">
        <x:v>10138</x:v>
      </x:c>
      <x:c r="B141" s="20" t="n">
        <x:v>46128</x:v>
      </x:c>
      <x:c r="C141" t="str">
        <x:v>Customer 24</x:v>
      </x:c>
      <x:c r="D141" t="str">
        <x:v>Mid-Market</x:v>
      </x:c>
      <x:c r="E141" t="str">
        <x:v>West</x:v>
      </x:c>
      <x:c r="F141" t="str">
        <x:v>Finance Cloud</x:v>
      </x:c>
      <x:c r="G141" t="n">
        <x:v>34</x:v>
      </x:c>
      <x:c r="H141" s="22" t="n">
        <x:v>688.3103376333843</x:v>
      </x:c>
      <x:c r="I141" s="24" t="n">
        <x:v>0</x:v>
      </x:c>
      <x:c r="J141" s="22" t="n">
        <x:v>23402.551479535065</x:v>
      </x:c>
      <x:c r="K141" s="22" t="n">
        <x:v>8014.919559485666</x:v>
      </x:c>
      <x:c r="L141" s="22" t="n">
        <x:v>15387.6319200494</x:v>
      </x:c>
      <x:c r="M141" s="24" t="n">
        <x:v>0.6575194133642006</x:v>
      </x:c>
    </x:row>
    <x:row r="142">
      <x:c r="A142" t="n">
        <x:v>10139</x:v>
      </x:c>
      <x:c r="B142" s="20" t="n">
        <x:v>46131</x:v>
      </x:c>
      <x:c r="C142" t="str">
        <x:v>Customer 01</x:v>
      </x:c>
      <x:c r="D142" t="str">
        <x:v>SMB</x:v>
      </x:c>
      <x:c r="E142" t="str">
        <x:v>Northeast</x:v>
      </x:c>
      <x:c r="F142" t="str">
        <x:v>Analytics Pro</x:v>
      </x:c>
      <x:c r="G142" t="n">
        <x:v>16</x:v>
      </x:c>
      <x:c r="H142" s="22" t="n">
        <x:v>418.5792730366556</x:v>
      </x:c>
      <x:c r="I142" s="24" t="n">
        <x:v>0.02</x:v>
      </x:c>
      <x:c r="J142" s="22" t="n">
        <x:v>6563.32300121476</x:v>
      </x:c>
      <x:c r="K142" s="22" t="n">
        <x:v>2485.3863756206088</x:v>
      </x:c>
      <x:c r="L142" s="22" t="n">
        <x:v>4077.936625594151</x:v>
      </x:c>
      <x:c r="M142" s="24" t="n">
        <x:v>0.6213219469526936</x:v>
      </x:c>
    </x:row>
    <x:row r="143">
      <x:c r="A143" t="n">
        <x:v>10140</x:v>
      </x:c>
      <x:c r="B143" s="20" t="n">
        <x:v>46134</x:v>
      </x:c>
      <x:c r="C143" t="str">
        <x:v>Customer 08</x:v>
      </x:c>
      <x:c r="D143" t="str">
        <x:v>Enterprise</x:v>
      </x:c>
      <x:c r="E143" t="str">
        <x:v>Midwest</x:v>
      </x:c>
      <x:c r="F143" t="str">
        <x:v>Data Connect</x:v>
      </x:c>
      <x:c r="G143" t="n">
        <x:v>46</x:v>
      </x:c>
      <x:c r="H143" s="22" t="n">
        <x:v>238.05019268986598</x:v>
      </x:c>
      <x:c r="I143" s="24" t="n">
        <x:v>0.02</x:v>
      </x:c>
      <x:c r="J143" s="22" t="n">
        <x:v>10731.302686459157</x:v>
      </x:c>
      <x:c r="K143" s="22" t="n">
        <x:v>5024.950717260985</x:v>
      </x:c>
      <x:c r="L143" s="22" t="n">
        <x:v>5706.351969198173</x:v>
      </x:c>
      <x:c r="M143" s="24" t="n">
        <x:v>0.531748300828239</x:v>
      </x:c>
    </x:row>
    <x:row r="144">
      <x:c r="A144" t="n">
        <x:v>10141</x:v>
      </x:c>
      <x:c r="B144" s="20" t="n">
        <x:v>46137</x:v>
      </x:c>
      <x:c r="C144" t="str">
        <x:v>Customer 15</x:v>
      </x:c>
      <x:c r="D144" t="str">
        <x:v>Mid-Market</x:v>
      </x:c>
      <x:c r="E144" t="str">
        <x:v>South</x:v>
      </x:c>
      <x:c r="F144" t="str">
        <x:v>Reporting Suite</x:v>
      </x:c>
      <x:c r="G144" t="n">
        <x:v>27</x:v>
      </x:c>
      <x:c r="H144" s="22" t="n">
        <x:v>326.49677648977337</x:v>
      </x:c>
      <x:c r="I144" s="24" t="n">
        <x:v>0</x:v>
      </x:c>
      <x:c r="J144" s="22" t="n">
        <x:v>8815.41296522388</x:v>
      </x:c>
      <x:c r="K144" s="22" t="n">
        <x:v>3824.915955145275</x:v>
      </x:c>
      <x:c r="L144" s="22" t="n">
        <x:v>4990.497010078606</x:v>
      </x:c>
      <x:c r="M144" s="24" t="n">
        <x:v>0.5661104056912284</x:v>
      </x:c>
    </x:row>
    <x:row r="145">
      <x:c r="A145" t="n">
        <x:v>10142</x:v>
      </x:c>
      <x:c r="B145" s="20" t="n">
        <x:v>46113</x:v>
      </x:c>
      <x:c r="C145" t="str">
        <x:v>Customer 22</x:v>
      </x:c>
      <x:c r="D145" t="str">
        <x:v>SMB</x:v>
      </x:c>
      <x:c r="E145" t="str">
        <x:v>West</x:v>
      </x:c>
      <x:c r="F145" t="str">
        <x:v>Finance Cloud</x:v>
      </x:c>
      <x:c r="G145" t="n">
        <x:v>23</x:v>
      </x:c>
      <x:c r="H145" s="22" t="n">
        <x:v>648.7246825207633</x:v>
      </x:c>
      <x:c r="I145" s="24" t="n">
        <x:v>0.03</x:v>
      </x:c>
      <x:c r="J145" s="22" t="n">
        <x:v>14473.047667038229</x:v>
      </x:c>
      <x:c r="K145" s="22" t="n">
        <x:v>4347.774979603366</x:v>
      </x:c>
      <x:c r="L145" s="22" t="n">
        <x:v>10125.272687434863</x:v>
      </x:c>
      <x:c r="M145" s="24" t="n">
        <x:v>0.6995950625171197</x:v>
      </x:c>
    </x:row>
    <x:row r="146">
      <x:c r="A146" t="n">
        <x:v>10143</x:v>
      </x:c>
      <x:c r="B146" s="20" t="n">
        <x:v>46116</x:v>
      </x:c>
      <x:c r="C146" t="str">
        <x:v>Customer 29</x:v>
      </x:c>
      <x:c r="D146" t="str">
        <x:v>Enterprise</x:v>
      </x:c>
      <x:c r="E146" t="str">
        <x:v>Northeast</x:v>
      </x:c>
      <x:c r="F146" t="str">
        <x:v>Analytics Pro</x:v>
      </x:c>
      <x:c r="G146" t="n">
        <x:v>51</x:v>
      </x:c>
      <x:c r="H146" s="22" t="n">
        <x:v>446.095835387551</x:v>
      </x:c>
      <x:c r="I146" s="24" t="n">
        <x:v>0.05</x:v>
      </x:c>
      <x:c r="J146" s="22" t="n">
        <x:v>21613.343224526845</x:v>
      </x:c>
      <x:c r="K146" s="22" t="n">
        <x:v>8101.388274008624</x:v>
      </x:c>
      <x:c r="L146" s="22" t="n">
        <x:v>13511.954950518222</x:v>
      </x:c>
      <x:c r="M146" s="24" t="n">
        <x:v>0.6251672779241687</x:v>
      </x:c>
    </x:row>
    <x:row r="147">
      <x:c r="A147" t="n">
        <x:v>10144</x:v>
      </x:c>
      <x:c r="B147" s="20" t="n">
        <x:v>46119</x:v>
      </x:c>
      <x:c r="C147" t="str">
        <x:v>Customer 06</x:v>
      </x:c>
      <x:c r="D147" t="str">
        <x:v>Mid-Market</x:v>
      </x:c>
      <x:c r="E147" t="str">
        <x:v>Midwest</x:v>
      </x:c>
      <x:c r="F147" t="str">
        <x:v>Data Connect</x:v>
      </x:c>
      <x:c r="G147" t="n">
        <x:v>29</x:v>
      </x:c>
      <x:c r="H147" s="22" t="n">
        <x:v>256.0401204456417</x:v>
      </x:c>
      <x:c r="I147" s="24" t="n">
        <x:v>0</x:v>
      </x:c>
      <x:c r="J147" s="22" t="n">
        <x:v>7425.16349292361</x:v>
      </x:c>
      <x:c r="K147" s="22" t="n">
        <x:v>3524.0189255305336</x:v>
      </x:c>
      <x:c r="L147" s="22" t="n">
        <x:v>3901.144567393076</x:v>
      </x:c>
      <x:c r="M147" s="24" t="n">
        <x:v>0.5253951069375075</x:v>
      </x:c>
    </x:row>
    <x:row r="148">
      <x:c r="A148" t="n">
        <x:v>10145</x:v>
      </x:c>
      <x:c r="B148" s="20" t="n">
        <x:v>46122</x:v>
      </x:c>
      <x:c r="C148" t="str">
        <x:v>Customer 13</x:v>
      </x:c>
      <x:c r="D148" t="str">
        <x:v>SMB</x:v>
      </x:c>
      <x:c r="E148" t="str">
        <x:v>South</x:v>
      </x:c>
      <x:c r="F148" t="str">
        <x:v>Reporting Suite</x:v>
      </x:c>
      <x:c r="G148" t="n">
        <x:v>18</x:v>
      </x:c>
      <x:c r="H148" s="22" t="n">
        <x:v>330.0290028805565</x:v>
      </x:c>
      <x:c r="I148" s="24" t="n">
        <x:v>0.03</x:v>
      </x:c>
      <x:c r="J148" s="22" t="n">
        <x:v>5762.306390294517</x:v>
      </x:c>
      <x:c r="K148" s="22" t="n">
        <x:v>2521.093532427614</x:v>
      </x:c>
      <x:c r="L148" s="22" t="n">
        <x:v>3241.212857866903</x:v>
      </x:c>
      <x:c r="M148" s="24" t="n">
        <x:v>0.5624853380455602</x:v>
      </x:c>
    </x:row>
    <x:row r="149">
      <x:c r="A149" t="n">
        <x:v>10146</x:v>
      </x:c>
      <x:c r="B149" s="20" t="n">
        <x:v>46125</x:v>
      </x:c>
      <x:c r="C149" t="str">
        <x:v>Customer 20</x:v>
      </x:c>
      <x:c r="D149" t="str">
        <x:v>Enterprise</x:v>
      </x:c>
      <x:c r="E149" t="str">
        <x:v>West</x:v>
      </x:c>
      <x:c r="F149" t="str">
        <x:v>Finance Cloud</x:v>
      </x:c>
      <x:c r="G149" t="n">
        <x:v>39</x:v>
      </x:c>
      <x:c r="H149" s="22" t="n">
        <x:v>684.1453901939424</x:v>
      </x:c>
      <x:c r="I149" s="24" t="n">
        <x:v>0</x:v>
      </x:c>
      <x:c r="J149" s="22" t="n">
        <x:v>26681.67021756375</x:v>
      </x:c>
      <x:c r="K149" s="22" t="n">
        <x:v>8933.326314760085</x:v>
      </x:c>
      <x:c r="L149" s="22" t="n">
        <x:v>17748.343902803666</x:v>
      </x:c>
      <x:c r="M149" s="24" t="n">
        <x:v>0.6651886391699894</x:v>
      </x:c>
    </x:row>
    <x:row r="150">
      <x:c r="A150" t="n">
        <x:v>10147</x:v>
      </x:c>
      <x:c r="B150" s="20" t="n">
        <x:v>46143</x:v>
      </x:c>
      <x:c r="C150" t="str">
        <x:v>Customer 16</x:v>
      </x:c>
      <x:c r="D150" t="str">
        <x:v>Mid-Market</x:v>
      </x:c>
      <x:c r="E150" t="str">
        <x:v>Midwest</x:v>
      </x:c>
      <x:c r="F150" t="str">
        <x:v>Finance Cloud</x:v>
      </x:c>
      <x:c r="G150" t="n">
        <x:v>25</x:v>
      </x:c>
      <x:c r="H150" s="22" t="n">
        <x:v>685.18183559093</x:v>
      </x:c>
      <x:c r="I150" s="24" t="n">
        <x:v>0.03</x:v>
      </x:c>
      <x:c r="J150" s="22" t="n">
        <x:v>16615.659513080052</x:v>
      </x:c>
      <x:c r="K150" s="22" t="n">
        <x:v>4958.907639115791</x:v>
      </x:c>
      <x:c r="L150" s="22" t="n">
        <x:v>11656.751873964262</x:v>
      </x:c>
      <x:c r="M150" s="24" t="n">
        <x:v>0.701552163174018</x:v>
      </x:c>
    </x:row>
    <x:row r="151">
      <x:c r="A151" t="n">
        <x:v>10148</x:v>
      </x:c>
      <x:c r="B151" s="20" t="n">
        <x:v>46146</x:v>
      </x:c>
      <x:c r="C151" t="str">
        <x:v>Customer 23</x:v>
      </x:c>
      <x:c r="D151" t="str">
        <x:v>SMB</x:v>
      </x:c>
      <x:c r="E151" t="str">
        <x:v>South</x:v>
      </x:c>
      <x:c r="F151" t="str">
        <x:v>Analytics Pro</x:v>
      </x:c>
      <x:c r="G151" t="n">
        <x:v>15</x:v>
      </x:c>
      <x:c r="H151" s="22" t="n">
        <x:v>448.80798900468614</x:v>
      </x:c>
      <x:c r="I151" s="24" t="n">
        <x:v>0</x:v>
      </x:c>
      <x:c r="J151" s="22" t="n">
        <x:v>6732.119835070292</x:v>
      </x:c>
      <x:c r="K151" s="22" t="n">
        <x:v>2675.8747879457605</x:v>
      </x:c>
      <x:c r="L151" s="22" t="n">
        <x:v>4056.245047124531</x:v>
      </x:c>
      <x:c r="M151" s="24" t="n">
        <x:v>0.6025212186500211</x:v>
      </x:c>
    </x:row>
    <x:row r="152">
      <x:c r="A152" t="n">
        <x:v>10149</x:v>
      </x:c>
      <x:c r="B152" s="20" t="n">
        <x:v>46149</x:v>
      </x:c>
      <x:c r="C152" t="str">
        <x:v>Customer 30</x:v>
      </x:c>
      <x:c r="D152" t="str">
        <x:v>Enterprise</x:v>
      </x:c>
      <x:c r="E152" t="str">
        <x:v>West</x:v>
      </x:c>
      <x:c r="F152" t="str">
        <x:v>Data Connect</x:v>
      </x:c>
      <x:c r="G152" t="n">
        <x:v>46</x:v>
      </x:c>
      <x:c r="H152" s="22" t="n">
        <x:v>265.9342160325689</x:v>
      </x:c>
      <x:c r="I152" s="24" t="n">
        <x:v>0.05</x:v>
      </x:c>
      <x:c r="J152" s="22" t="n">
        <x:v>11621.32524062326</x:v>
      </x:c>
      <x:c r="K152" s="22" t="n">
        <x:v>5582.4829217779725</x:v>
      </x:c>
      <x:c r="L152" s="22" t="n">
        <x:v>6038.842318845288</x:v>
      </x:c>
      <x:c r="M152" s="24" t="n">
        <x:v>0.5196345678146962</x:v>
      </x:c>
    </x:row>
    <x:row r="153">
      <x:c r="A153" t="n">
        <x:v>10150</x:v>
      </x:c>
      <x:c r="B153" s="20" t="n">
        <x:v>46152</x:v>
      </x:c>
      <x:c r="C153" t="str">
        <x:v>Customer 07</x:v>
      </x:c>
      <x:c r="D153" t="str">
        <x:v>Mid-Market</x:v>
      </x:c>
      <x:c r="E153" t="str">
        <x:v>Northeast</x:v>
      </x:c>
      <x:c r="F153" t="str">
        <x:v>Reporting Suite</x:v>
      </x:c>
      <x:c r="G153" t="n">
        <x:v>24</x:v>
      </x:c>
      <x:c r="H153" s="22" t="n">
        <x:v>322.98012788399984</x:v>
      </x:c>
      <x:c r="I153" s="24" t="n">
        <x:v>0.08</x:v>
      </x:c>
      <x:c r="J153" s="22" t="n">
        <x:v>7131.4012236787175</x:v>
      </x:c>
      <x:c r="K153" s="22" t="n">
        <x:v>3161.1625107721375</x:v>
      </x:c>
      <x:c r="L153" s="22" t="n">
        <x:v>3970.23871290658</x:v>
      </x:c>
      <x:c r="M153" s="24" t="n">
        <x:v>0.5567263134380961</x:v>
      </x:c>
    </x:row>
    <x:row r="154">
      <x:c r="A154" t="n">
        <x:v>10151</x:v>
      </x:c>
      <x:c r="B154" s="20" t="n">
        <x:v>46155</x:v>
      </x:c>
      <x:c r="C154" t="str">
        <x:v>Customer 14</x:v>
      </x:c>
      <x:c r="D154" t="str">
        <x:v>SMB</x:v>
      </x:c>
      <x:c r="E154" t="str">
        <x:v>Midwest</x:v>
      </x:c>
      <x:c r="F154" t="str">
        <x:v>Finance Cloud</x:v>
      </x:c>
      <x:c r="G154" t="n">
        <x:v>14</x:v>
      </x:c>
      <x:c r="H154" s="22" t="n">
        <x:v>685.6263610381122</x:v>
      </x:c>
      <x:c r="I154" s="24" t="n">
        <x:v>0.05</x:v>
      </x:c>
      <x:c r="J154" s="22" t="n">
        <x:v>9118.830601806892</x:v>
      </x:c>
      <x:c r="K154" s="22" t="n">
        <x:v>2902.0102862709405</x:v>
      </x:c>
      <x:c r="L154" s="22" t="n">
        <x:v>6216.8203155359515</x:v>
      </x:c>
      <x:c r="M154" s="24" t="n">
        <x:v>0.6817563114182745</x:v>
      </x:c>
    </x:row>
    <x:row r="155">
      <x:c r="A155" t="n">
        <x:v>10152</x:v>
      </x:c>
      <x:c r="B155" s="20" t="n">
        <x:v>46158</x:v>
      </x:c>
      <x:c r="C155" t="str">
        <x:v>Customer 21</x:v>
      </x:c>
      <x:c r="D155" t="str">
        <x:v>Enterprise</x:v>
      </x:c>
      <x:c r="E155" t="str">
        <x:v>South</x:v>
      </x:c>
      <x:c r="F155" t="str">
        <x:v>Analytics Pro</x:v>
      </x:c>
      <x:c r="G155" t="n">
        <x:v>59</x:v>
      </x:c>
      <x:c r="H155" s="22" t="n">
        <x:v>458.2378749484264</x:v>
      </x:c>
      <x:c r="I155" s="24" t="n">
        <x:v>0.08</x:v>
      </x:c>
      <x:c r="J155" s="22" t="n">
        <x:v>24873.151852200586</x:v>
      </x:c>
      <x:c r="K155" s="22" t="n">
        <x:v>9163.76105624878</x:v>
      </x:c>
      <x:c r="L155" s="22" t="n">
        <x:v>15709.390795951806</x:v>
      </x:c>
      <x:c r="M155" s="24" t="n">
        <x:v>0.6315802230975388</x:v>
      </x:c>
    </x:row>
    <x:row r="156">
      <x:c r="A156" t="n">
        <x:v>10153</x:v>
      </x:c>
      <x:c r="B156" s="20" t="n">
        <x:v>46161</x:v>
      </x:c>
      <x:c r="C156" t="str">
        <x:v>Customer 28</x:v>
      </x:c>
      <x:c r="D156" t="str">
        <x:v>Mid-Market</x:v>
      </x:c>
      <x:c r="E156" t="str">
        <x:v>West</x:v>
      </x:c>
      <x:c r="F156" t="str">
        <x:v>Data Connect</x:v>
      </x:c>
      <x:c r="G156" t="n">
        <x:v>36</x:v>
      </x:c>
      <x:c r="H156" s="22" t="n">
        <x:v>239.5006860372036</x:v>
      </x:c>
      <x:c r="I156" s="24" t="n">
        <x:v>0.05</x:v>
      </x:c>
      <x:c r="J156" s="22" t="n">
        <x:v>8190.923462472363</x:v>
      </x:c>
      <x:c r="K156" s="22" t="n">
        <x:v>3744.834279085622</x:v>
      </x:c>
      <x:c r="L156" s="22" t="n">
        <x:v>4446.089183386741</x:v>
      </x:c>
      <x:c r="M156" s="24" t="n">
        <x:v>0.5428068280404521</x:v>
      </x:c>
    </x:row>
    <x:row r="157">
      <x:c r="A157" t="n">
        <x:v>10154</x:v>
      </x:c>
      <x:c r="B157" s="20" t="n">
        <x:v>46164</x:v>
      </x:c>
      <x:c r="C157" t="str">
        <x:v>Customer 05</x:v>
      </x:c>
      <x:c r="D157" t="str">
        <x:v>SMB</x:v>
      </x:c>
      <x:c r="E157" t="str">
        <x:v>Northeast</x:v>
      </x:c>
      <x:c r="F157" t="str">
        <x:v>Reporting Suite</x:v>
      </x:c>
      <x:c r="G157" t="n">
        <x:v>4</x:v>
      </x:c>
      <x:c r="H157" s="22" t="n">
        <x:v>324.1215127055222</x:v>
      </x:c>
      <x:c r="I157" s="24" t="n">
        <x:v>0.08</x:v>
      </x:c>
      <x:c r="J157" s="22" t="n">
        <x:v>1192.7671667563218</x:v>
      </x:c>
      <x:c r="K157" s="22" t="n">
        <x:v>510.9926943063727</x:v>
      </x:c>
      <x:c r="L157" s="22" t="n">
        <x:v>681.7744724499491</x:v>
      </x:c>
      <x:c r="M157" s="24" t="n">
        <x:v>0.5715905764777254</x:v>
      </x:c>
    </x:row>
    <x:row r="158">
      <x:c r="A158" t="n">
        <x:v>10155</x:v>
      </x:c>
      <x:c r="B158" s="20" t="n">
        <x:v>46167</x:v>
      </x:c>
      <x:c r="C158" t="str">
        <x:v>Customer 12</x:v>
      </x:c>
      <x:c r="D158" t="str">
        <x:v>Enterprise</x:v>
      </x:c>
      <x:c r="E158" t="str">
        <x:v>Midwest</x:v>
      </x:c>
      <x:c r="F158" t="str">
        <x:v>Finance Cloud</x:v>
      </x:c>
      <x:c r="G158" t="n">
        <x:v>40</x:v>
      </x:c>
      <x:c r="H158" s="22" t="n">
        <x:v>668.1686603500893</x:v>
      </x:c>
      <x:c r="I158" s="24" t="n">
        <x:v>0.05</x:v>
      </x:c>
      <x:c r="J158" s="22" t="n">
        <x:v>25390.409093303395</x:v>
      </x:c>
      <x:c r="K158" s="22" t="n">
        <x:v>7759.461171168192</x:v>
      </x:c>
      <x:c r="L158" s="22" t="n">
        <x:v>17630.9479221352</x:v>
      </x:c>
      <x:c r="M158" s="24" t="n">
        <x:v>0.694394007491013</x:v>
      </x:c>
    </x:row>
    <x:row r="159">
      <x:c r="A159" t="n">
        <x:v>10156</x:v>
      </x:c>
      <x:c r="B159" s="20" t="n">
        <x:v>46143</x:v>
      </x:c>
      <x:c r="C159" t="str">
        <x:v>Customer 19</x:v>
      </x:c>
      <x:c r="D159" t="str">
        <x:v>Mid-Market</x:v>
      </x:c>
      <x:c r="E159" t="str">
        <x:v>South</x:v>
      </x:c>
      <x:c r="F159" t="str">
        <x:v>Analytics Pro</x:v>
      </x:c>
      <x:c r="G159" t="n">
        <x:v>35</x:v>
      </x:c>
      <x:c r="H159" s="22" t="n">
        <x:v>456.76128832334285</x:v>
      </x:c>
      <x:c r="I159" s="24" t="n">
        <x:v>0.03</x:v>
      </x:c>
      <x:c r="J159" s="22" t="n">
        <x:v>15507.045738577488</x:v>
      </x:c>
      <x:c r="K159" s="22" t="n">
        <x:v>5721.835085454022</x:v>
      </x:c>
      <x:c r="L159" s="22" t="n">
        <x:v>9785.210653123466</x:v>
      </x:c>
      <x:c r="M159" s="24" t="n">
        <x:v>0.6310170755981207</x:v>
      </x:c>
    </x:row>
    <x:row r="160">
      <x:c r="A160" t="n">
        <x:v>10157</x:v>
      </x:c>
      <x:c r="B160" s="20" t="n">
        <x:v>46146</x:v>
      </x:c>
      <x:c r="C160" t="str">
        <x:v>Customer 26</x:v>
      </x:c>
      <x:c r="D160" t="str">
        <x:v>SMB</x:v>
      </x:c>
      <x:c r="E160" t="str">
        <x:v>West</x:v>
      </x:c>
      <x:c r="F160" t="str">
        <x:v>Data Connect</x:v>
      </x:c>
      <x:c r="G160" t="n">
        <x:v>4</x:v>
      </x:c>
      <x:c r="H160" s="22" t="n">
        <x:v>253.68712068428823</x:v>
      </x:c>
      <x:c r="I160" s="24" t="n">
        <x:v>0.08</x:v>
      </x:c>
      <x:c r="J160" s="22" t="n">
        <x:v>933.5686041181807</x:v>
      </x:c>
      <x:c r="K160" s="22" t="n">
        <x:v>459.6921017001897</x:v>
      </x:c>
      <x:c r="L160" s="22" t="n">
        <x:v>473.876502417991</x:v>
      </x:c>
      <x:c r="M160" s="24" t="n">
        <x:v>0.5075968711111485</x:v>
      </x:c>
    </x:row>
    <x:row r="161">
      <x:c r="A161" t="n">
        <x:v>10158</x:v>
      </x:c>
      <x:c r="B161" s="20" t="n">
        <x:v>46149</x:v>
      </x:c>
      <x:c r="C161" t="str">
        <x:v>Customer 03</x:v>
      </x:c>
      <x:c r="D161" t="str">
        <x:v>Enterprise</x:v>
      </x:c>
      <x:c r="E161" t="str">
        <x:v>Northeast</x:v>
      </x:c>
      <x:c r="F161" t="str">
        <x:v>Reporting Suite</x:v>
      </x:c>
      <x:c r="G161" t="n">
        <x:v>35</x:v>
      </x:c>
      <x:c r="H161" s="22" t="n">
        <x:v>309.3140422940803</x:v>
      </x:c>
      <x:c r="I161" s="24" t="n">
        <x:v>0.05</x:v>
      </x:c>
      <x:c r="J161" s="22" t="n">
        <x:v>10284.691906278169</x:v>
      </x:c>
      <x:c r="K161" s="22" t="n">
        <x:v>4313.696934333503</x:v>
      </x:c>
      <x:c r="L161" s="22" t="n">
        <x:v>5970.994971944666</x:v>
      </x:c>
      <x:c r="M161" s="24" t="n">
        <x:v>0.5805711076575607</x:v>
      </x:c>
    </x:row>
    <x:row r="162">
      <x:c r="A162" t="n">
        <x:v>10159</x:v>
      </x:c>
      <x:c r="B162" s="20" t="n">
        <x:v>46152</x:v>
      </x:c>
      <x:c r="C162" t="str">
        <x:v>Customer 10</x:v>
      </x:c>
      <x:c r="D162" t="str">
        <x:v>Mid-Market</x:v>
      </x:c>
      <x:c r="E162" t="str">
        <x:v>Midwest</x:v>
      </x:c>
      <x:c r="F162" t="str">
        <x:v>Finance Cloud</x:v>
      </x:c>
      <x:c r="G162" t="n">
        <x:v>28</x:v>
      </x:c>
      <x:c r="H162" s="22" t="n">
        <x:v>694.4494474887839</x:v>
      </x:c>
      <x:c r="I162" s="24" t="n">
        <x:v>0.05</x:v>
      </x:c>
      <x:c r="J162" s="22" t="n">
        <x:v>18472.35530320165</x:v>
      </x:c>
      <x:c r="K162" s="22" t="n">
        <x:v>5863.286790335262</x:v>
      </x:c>
      <x:c r="L162" s="22" t="n">
        <x:v>12609.068512866388</x:v>
      </x:c>
      <x:c r="M162" s="24" t="n">
        <x:v>0.6825912725206714</x:v>
      </x:c>
    </x:row>
    <x:row r="163">
      <x:c r="A163" t="n">
        <x:v>10160</x:v>
      </x:c>
      <x:c r="B163" s="20" t="n">
        <x:v>46155</x:v>
      </x:c>
      <x:c r="C163" t="str">
        <x:v>Customer 17</x:v>
      </x:c>
      <x:c r="D163" t="str">
        <x:v>SMB</x:v>
      </x:c>
      <x:c r="E163" t="str">
        <x:v>South</x:v>
      </x:c>
      <x:c r="F163" t="str">
        <x:v>Analytics Pro</x:v>
      </x:c>
      <x:c r="G163" t="n">
        <x:v>4</x:v>
      </x:c>
      <x:c r="H163" s="22" t="n">
        <x:v>415.4525132847159</x:v>
      </x:c>
      <x:c r="I163" s="24" t="n">
        <x:v>0.03</x:v>
      </x:c>
      <x:c r="J163" s="22" t="n">
        <x:v>1611.9557515446977</x:v>
      </x:c>
      <x:c r="K163" s="22" t="n">
        <x:v>590.1044714115325</x:v>
      </x:c>
      <x:c r="L163" s="22" t="n">
        <x:v>1021.8512801331652</x:v>
      </x:c>
      <x:c r="M163" s="24" t="n">
        <x:v>0.6339201799763735</x:v>
      </x:c>
    </x:row>
    <x:row r="164">
      <x:c r="A164" t="n">
        <x:v>10161</x:v>
      </x:c>
      <x:c r="B164" s="20" t="n">
        <x:v>46158</x:v>
      </x:c>
      <x:c r="C164" t="str">
        <x:v>Customer 24</x:v>
      </x:c>
      <x:c r="D164" t="str">
        <x:v>Enterprise</x:v>
      </x:c>
      <x:c r="E164" t="str">
        <x:v>West</x:v>
      </x:c>
      <x:c r="F164" t="str">
        <x:v>Data Connect</x:v>
      </x:c>
      <x:c r="G164" t="n">
        <x:v>42</x:v>
      </x:c>
      <x:c r="H164" s="22" t="n">
        <x:v>254.4662409004508</x:v>
      </x:c>
      <x:c r="I164" s="24" t="n">
        <x:v>0.05</x:v>
      </x:c>
      <x:c r="J164" s="22" t="n">
        <x:v>10153.203011927988</x:v>
      </x:c>
      <x:c r="K164" s="22" t="n">
        <x:v>4799.151503999492</x:v>
      </x:c>
      <x:c r="L164" s="22" t="n">
        <x:v>5354.051507928496</x:v>
      </x:c>
      <x:c r="M164" s="24" t="n">
        <x:v>0.5273263522494875</x:v>
      </x:c>
    </x:row>
    <x:row r="165">
      <x:c r="A165" t="n">
        <x:v>10162</x:v>
      </x:c>
      <x:c r="B165" s="20" t="n">
        <x:v>46161</x:v>
      </x:c>
      <x:c r="C165" t="str">
        <x:v>Customer 01</x:v>
      </x:c>
      <x:c r="D165" t="str">
        <x:v>Mid-Market</x:v>
      </x:c>
      <x:c r="E165" t="str">
        <x:v>Northeast</x:v>
      </x:c>
      <x:c r="F165" t="str">
        <x:v>Reporting Suite</x:v>
      </x:c>
      <x:c r="G165" t="n">
        <x:v>21</x:v>
      </x:c>
      <x:c r="H165" s="22" t="n">
        <x:v>319.39716381535067</x:v>
      </x:c>
      <x:c r="I165" s="24" t="n">
        <x:v>0.08</x:v>
      </x:c>
      <x:c r="J165" s="22" t="n">
        <x:v>6170.753204912576</x:v>
      </x:c>
      <x:c r="K165" s="22" t="n">
        <x:v>2539.5090888069158</x:v>
      </x:c>
      <x:c r="L165" s="22" t="n">
        <x:v>3631.24411610566</x:v>
      </x:c>
      <x:c r="M165" s="24" t="n">
        <x:v>0.5884604351402035</x:v>
      </x:c>
    </x:row>
    <x:row r="166">
      <x:c r="A166" t="n">
        <x:v>10163</x:v>
      </x:c>
      <x:c r="B166" s="20" t="n">
        <x:v>46164</x:v>
      </x:c>
      <x:c r="C166" t="str">
        <x:v>Customer 08</x:v>
      </x:c>
      <x:c r="D166" t="str">
        <x:v>SMB</x:v>
      </x:c>
      <x:c r="E166" t="str">
        <x:v>Midwest</x:v>
      </x:c>
      <x:c r="F166" t="str">
        <x:v>Finance Cloud</x:v>
      </x:c>
      <x:c r="G166" t="n">
        <x:v>14</x:v>
      </x:c>
      <x:c r="H166" s="22" t="n">
        <x:v>662.1399610808571</x:v>
      </x:c>
      <x:c r="I166" s="24" t="n">
        <x:v>0</x:v>
      </x:c>
      <x:c r="J166" s="22" t="n">
        <x:v>9269.959455132</x:v>
      </x:c>
      <x:c r="K166" s="22" t="n">
        <x:v>3068.951864614673</x:v>
      </x:c>
      <x:c r="L166" s="22" t="n">
        <x:v>6201.007590517327</x:v>
      </x:c>
      <x:c r="M166" s="24" t="n">
        <x:v>0.6689357834336965</x:v>
      </x:c>
    </x:row>
    <x:row r="167">
      <x:c r="A167" t="n">
        <x:v>10164</x:v>
      </x:c>
      <x:c r="B167" s="20" t="n">
        <x:v>46167</x:v>
      </x:c>
      <x:c r="C167" t="str">
        <x:v>Customer 15</x:v>
      </x:c>
      <x:c r="D167" t="str">
        <x:v>Enterprise</x:v>
      </x:c>
      <x:c r="E167" t="str">
        <x:v>South</x:v>
      </x:c>
      <x:c r="F167" t="str">
        <x:v>Analytics Pro</x:v>
      </x:c>
      <x:c r="G167" t="n">
        <x:v>38</x:v>
      </x:c>
      <x:c r="H167" s="22" t="n">
        <x:v>431.2387971967968</x:v>
      </x:c>
      <x:c r="I167" s="24" t="n">
        <x:v>0.08</x:v>
      </x:c>
      <x:c r="J167" s="22" t="n">
        <x:v>15076.108350000017</x:v>
      </x:c>
      <x:c r="K167" s="22" t="n">
        <x:v>6068.795120653761</x:v>
      </x:c>
      <x:c r="L167" s="22" t="n">
        <x:v>9007.313229346255</x:v>
      </x:c>
      <x:c r="M167" s="24" t="n">
        <x:v>0.5974561219803283</x:v>
      </x:c>
    </x:row>
    <x:row r="168">
      <x:c r="A168" t="n">
        <x:v>10165</x:v>
      </x:c>
      <x:c r="B168" s="20" t="n">
        <x:v>46143</x:v>
      </x:c>
      <x:c r="C168" t="str">
        <x:v>Customer 22</x:v>
      </x:c>
      <x:c r="D168" t="str">
        <x:v>Mid-Market</x:v>
      </x:c>
      <x:c r="E168" t="str">
        <x:v>West</x:v>
      </x:c>
      <x:c r="F168" t="str">
        <x:v>Data Connect</x:v>
      </x:c>
      <x:c r="G168" t="n">
        <x:v>26</x:v>
      </x:c>
      <x:c r="H168" s="22" t="n">
        <x:v>259.21540472211063</x:v>
      </x:c>
      <x:c r="I168" s="24" t="n">
        <x:v>0.03</x:v>
      </x:c>
      <x:c r="J168" s="22" t="n">
        <x:v>6537.41250709163</x:v>
      </x:c>
      <x:c r="K168" s="22" t="n">
        <x:v>3145.994118085611</x:v>
      </x:c>
      <x:c r="L168" s="22" t="n">
        <x:v>3391.418389006019</x:v>
      </x:c>
      <x:c r="M168" s="24" t="n">
        <x:v>0.5187707499453474</x:v>
      </x:c>
    </x:row>
    <x:row r="169">
      <x:c r="A169" t="n">
        <x:v>10166</x:v>
      </x:c>
      <x:c r="B169" s="20" t="n">
        <x:v>46146</x:v>
      </x:c>
      <x:c r="C169" t="str">
        <x:v>Customer 29</x:v>
      </x:c>
      <x:c r="D169" t="str">
        <x:v>SMB</x:v>
      </x:c>
      <x:c r="E169" t="str">
        <x:v>Northeast</x:v>
      </x:c>
      <x:c r="F169" t="str">
        <x:v>Reporting Suite</x:v>
      </x:c>
      <x:c r="G169" t="n">
        <x:v>11</x:v>
      </x:c>
      <x:c r="H169" s="22" t="n">
        <x:v>344.1162703138122</x:v>
      </x:c>
      <x:c r="I169" s="24" t="n">
        <x:v>0.08</x:v>
      </x:c>
      <x:c r="J169" s="22" t="n">
        <x:v>3482.4566555757797</x:v>
      </x:c>
      <x:c r="K169" s="22" t="n">
        <x:v>1479.485273266586</x:v>
      </x:c>
      <x:c r="L169" s="22" t="n">
        <x:v>2002.9713823091936</x:v>
      </x:c>
      <x:c r="M169" s="24" t="n">
        <x:v>0.575160462974385</x:v>
      </x:c>
    </x:row>
    <x:row r="170">
      <x:c r="A170" t="n">
        <x:v>10167</x:v>
      </x:c>
      <x:c r="B170" s="20" t="n">
        <x:v>46149</x:v>
      </x:c>
      <x:c r="C170" t="str">
        <x:v>Customer 06</x:v>
      </x:c>
      <x:c r="D170" t="str">
        <x:v>Enterprise</x:v>
      </x:c>
      <x:c r="E170" t="str">
        <x:v>Midwest</x:v>
      </x:c>
      <x:c r="F170" t="str">
        <x:v>Finance Cloud</x:v>
      </x:c>
      <x:c r="G170" t="n">
        <x:v>60</x:v>
      </x:c>
      <x:c r="H170" s="22" t="n">
        <x:v>665.8125853414153</x:v>
      </x:c>
      <x:c r="I170" s="24" t="n">
        <x:v>0.03</x:v>
      </x:c>
      <x:c r="J170" s="22" t="n">
        <x:v>38750.29246687037</x:v>
      </x:c>
      <x:c r="K170" s="22" t="n">
        <x:v>11779.006892652564</x:v>
      </x:c>
      <x:c r="L170" s="22" t="n">
        <x:v>26971.285574217807</x:v>
      </x:c>
      <x:c r="M170" s="24" t="n">
        <x:v>0.6960279228157298</x:v>
      </x:c>
    </x:row>
    <x:row r="171">
      <x:c r="A171" t="n">
        <x:v>10168</x:v>
      </x:c>
      <x:c r="B171" s="20" t="n">
        <x:v>46152</x:v>
      </x:c>
      <x:c r="C171" t="str">
        <x:v>Customer 13</x:v>
      </x:c>
      <x:c r="D171" t="str">
        <x:v>Mid-Market</x:v>
      </x:c>
      <x:c r="E171" t="str">
        <x:v>South</x:v>
      </x:c>
      <x:c r="F171" t="str">
        <x:v>Analytics Pro</x:v>
      </x:c>
      <x:c r="G171" t="n">
        <x:v>26</x:v>
      </x:c>
      <x:c r="H171" s="22" t="n">
        <x:v>415.2887315951909</x:v>
      </x:c>
      <x:c r="I171" s="24" t="n">
        <x:v>0.08</x:v>
      </x:c>
      <x:c r="J171" s="22" t="n">
        <x:v>9933.706459756966</x:v>
      </x:c>
      <x:c r="K171" s="22" t="n">
        <x:v>3589.3376915105755</x:v>
      </x:c>
      <x:c r="L171" s="22" t="n">
        <x:v>6344.368768246391</x:v>
      </x:c>
      <x:c r="M171" s="24" t="n">
        <x:v>0.6386708520076009</x:v>
      </x:c>
    </x:row>
    <x:row r="172">
      <x:c r="A172" t="n">
        <x:v>10169</x:v>
      </x:c>
      <x:c r="B172" s="20" t="n">
        <x:v>46155</x:v>
      </x:c>
      <x:c r="C172" t="str">
        <x:v>Customer 20</x:v>
      </x:c>
      <x:c r="D172" t="str">
        <x:v>SMB</x:v>
      </x:c>
      <x:c r="E172" t="str">
        <x:v>West</x:v>
      </x:c>
      <x:c r="F172" t="str">
        <x:v>Data Connect</x:v>
      </x:c>
      <x:c r="G172" t="n">
        <x:v>18</x:v>
      </x:c>
      <x:c r="H172" s="22" t="n">
        <x:v>245.71421213127599</x:v>
      </x:c>
      <x:c r="I172" s="24" t="n">
        <x:v>0.02</x:v>
      </x:c>
      <x:c r="J172" s="22" t="n">
        <x:v>4334.3987019957085</x:v>
      </x:c>
      <x:c r="K172" s="22" t="n">
        <x:v>2067.0464926447694</x:v>
      </x:c>
      <x:c r="L172" s="22" t="n">
        <x:v>2267.352209350939</x:v>
      </x:c>
      <x:c r="M172" s="24" t="n">
        <x:v>0.5231065172447036</x:v>
      </x:c>
    </x:row>
    <x:row r="173">
      <x:c r="A173" t="n">
        <x:v>10170</x:v>
      </x:c>
      <x:c r="B173" s="20" t="n">
        <x:v>46158</x:v>
      </x:c>
      <x:c r="C173" t="str">
        <x:v>Customer 27</x:v>
      </x:c>
      <x:c r="D173" t="str">
        <x:v>Enterprise</x:v>
      </x:c>
      <x:c r="E173" t="str">
        <x:v>Northeast</x:v>
      </x:c>
      <x:c r="F173" t="str">
        <x:v>Reporting Suite</x:v>
      </x:c>
      <x:c r="G173" t="n">
        <x:v>45</x:v>
      </x:c>
      <x:c r="H173" s="22" t="n">
        <x:v>335.37406238640637</x:v>
      </x:c>
      <x:c r="I173" s="24" t="n">
        <x:v>0</x:v>
      </x:c>
      <x:c r="J173" s="22" t="n">
        <x:v>15091.832807388286</x:v>
      </x:c>
      <x:c r="K173" s="22" t="n">
        <x:v>6619.820975333678</x:v>
      </x:c>
      <x:c r="L173" s="22" t="n">
        <x:v>8472.011832054608</x:v>
      </x:c>
      <x:c r="M173" s="24" t="n">
        <x:v>0.5613640132500732</x:v>
      </x:c>
    </x:row>
    <x:row r="174">
      <x:c r="A174" t="n">
        <x:v>10171</x:v>
      </x:c>
      <x:c r="B174" s="20" t="n">
        <x:v>46161</x:v>
      </x:c>
      <x:c r="C174" t="str">
        <x:v>Customer 04</x:v>
      </x:c>
      <x:c r="D174" t="str">
        <x:v>Mid-Market</x:v>
      </x:c>
      <x:c r="E174" t="str">
        <x:v>Midwest</x:v>
      </x:c>
      <x:c r="F174" t="str">
        <x:v>Finance Cloud</x:v>
      </x:c>
      <x:c r="G174" t="n">
        <x:v>19</x:v>
      </x:c>
      <x:c r="H174" s="22" t="n">
        <x:v>677.6243945673392</x:v>
      </x:c>
      <x:c r="I174" s="24" t="n">
        <x:v>0.02</x:v>
      </x:c>
      <x:c r="J174" s="22" t="n">
        <x:v>12617.366226843855</x:v>
      </x:c>
      <x:c r="K174" s="22" t="n">
        <x:v>4331.22490465046</x:v>
      </x:c>
      <x:c r="L174" s="22" t="n">
        <x:v>8286.141322193394</x:v>
      </x:c>
      <x:c r="M174" s="24" t="n">
        <x:v>0.6567251178430853</x:v>
      </x:c>
    </x:row>
    <x:row r="175">
      <x:c r="A175" t="n">
        <x:v>10172</x:v>
      </x:c>
      <x:c r="B175" s="20" t="n">
        <x:v>46164</x:v>
      </x:c>
      <x:c r="C175" t="str">
        <x:v>Customer 11</x:v>
      </x:c>
      <x:c r="D175" t="str">
        <x:v>SMB</x:v>
      </x:c>
      <x:c r="E175" t="str">
        <x:v>South</x:v>
      </x:c>
      <x:c r="F175" t="str">
        <x:v>Analytics Pro</x:v>
      </x:c>
      <x:c r="G175" t="n">
        <x:v>11</x:v>
      </x:c>
      <x:c r="H175" s="22" t="n">
        <x:v>427.9011564248881</x:v>
      </x:c>
      <x:c r="I175" s="24" t="n">
        <x:v>0.05</x:v>
      </x:c>
      <x:c r="J175" s="22" t="n">
        <x:v>4471.56708464008</x:v>
      </x:c>
      <x:c r="K175" s="22" t="n">
        <x:v>1612.913730209542</x:v>
      </x:c>
      <x:c r="L175" s="22" t="n">
        <x:v>2858.6533544305375</x:v>
      </x:c>
      <x:c r="M175" s="24" t="n">
        <x:v>0.6392956429637537</x:v>
      </x:c>
    </x:row>
    <x:row r="176">
      <x:c r="A176" t="n">
        <x:v>10173</x:v>
      </x:c>
      <x:c r="B176" s="20" t="n">
        <x:v>46167</x:v>
      </x:c>
      <x:c r="C176" t="str">
        <x:v>Customer 18</x:v>
      </x:c>
      <x:c r="D176" t="str">
        <x:v>Enterprise</x:v>
      </x:c>
      <x:c r="E176" t="str">
        <x:v>West</x:v>
      </x:c>
      <x:c r="F176" t="str">
        <x:v>Data Connect</x:v>
      </x:c>
      <x:c r="G176" t="n">
        <x:v>53</x:v>
      </x:c>
      <x:c r="H176" s="22" t="n">
        <x:v>254.3291197716775</x:v>
      </x:c>
      <x:c r="I176" s="24" t="n">
        <x:v>0</x:v>
      </x:c>
      <x:c r="J176" s="22" t="n">
        <x:v>13479.443347898909</x:v>
      </x:c>
      <x:c r="K176" s="22" t="n">
        <x:v>6100.612069542098</x:v>
      </x:c>
      <x:c r="L176" s="22" t="n">
        <x:v>7378.831278356811</x:v>
      </x:c>
      <x:c r="M176" s="24" t="n">
        <x:v>0.5474136496524522</x:v>
      </x:c>
    </x:row>
    <x:row r="177">
      <x:c r="A177" t="n">
        <x:v>10174</x:v>
      </x:c>
      <x:c r="B177" s="20" t="n">
        <x:v>46143</x:v>
      </x:c>
      <x:c r="C177" t="str">
        <x:v>Customer 25</x:v>
      </x:c>
      <x:c r="D177" t="str">
        <x:v>Mid-Market</x:v>
      </x:c>
      <x:c r="E177" t="str">
        <x:v>Northeast</x:v>
      </x:c>
      <x:c r="F177" t="str">
        <x:v>Reporting Suite</x:v>
      </x:c>
      <x:c r="G177" t="n">
        <x:v>31</x:v>
      </x:c>
      <x:c r="H177" s="22" t="n">
        <x:v>337.65320949930333</x:v>
      </x:c>
      <x:c r="I177" s="24" t="n">
        <x:v>0.03</x:v>
      </x:c>
      <x:c r="J177" s="22" t="n">
        <x:v>10153.23200964405</x:v>
      </x:c>
      <x:c r="K177" s="22" t="n">
        <x:v>4053.769720096358</x:v>
      </x:c>
      <x:c r="L177" s="22" t="n">
        <x:v>6099.462289547693</x:v>
      </x:c>
      <x:c r="M177" s="24" t="n">
        <x:v>0.6007409545801885</x:v>
      </x:c>
    </x:row>
    <x:row r="178">
      <x:c r="A178" t="n">
        <x:v>10175</x:v>
      </x:c>
      <x:c r="B178" s="20" t="n">
        <x:v>46146</x:v>
      </x:c>
      <x:c r="C178" t="str">
        <x:v>Customer 02</x:v>
      </x:c>
      <x:c r="D178" t="str">
        <x:v>SMB</x:v>
      </x:c>
      <x:c r="E178" t="str">
        <x:v>Midwest</x:v>
      </x:c>
      <x:c r="F178" t="str">
        <x:v>Finance Cloud</x:v>
      </x:c>
      <x:c r="G178" t="n">
        <x:v>16</x:v>
      </x:c>
      <x:c r="H178" s="22" t="n">
        <x:v>675.6346523535059</x:v>
      </x:c>
      <x:c r="I178" s="24" t="n">
        <x:v>0.08</x:v>
      </x:c>
      <x:c r="J178" s="22" t="n">
        <x:v>9945.342082643607</x:v>
      </x:c>
      <x:c r="K178" s="22" t="n">
        <x:v>3327.0853169551788</x:v>
      </x:c>
      <x:c r="L178" s="22" t="n">
        <x:v>6618.256765688428</x:v>
      </x:c>
      <x:c r="M178" s="24" t="n">
        <x:v>0.665462958507829</x:v>
      </x:c>
    </x:row>
    <x:row r="179">
      <x:c r="A179" t="n">
        <x:v>10176</x:v>
      </x:c>
      <x:c r="B179" s="20" t="n">
        <x:v>46149</x:v>
      </x:c>
      <x:c r="C179" t="str">
        <x:v>Customer 09</x:v>
      </x:c>
      <x:c r="D179" t="str">
        <x:v>Enterprise</x:v>
      </x:c>
      <x:c r="E179" t="str">
        <x:v>South</x:v>
      </x:c>
      <x:c r="F179" t="str">
        <x:v>Analytics Pro</x:v>
      </x:c>
      <x:c r="G179" t="n">
        <x:v>55</x:v>
      </x:c>
      <x:c r="H179" s="22" t="n">
        <x:v>426.4833632934816</x:v>
      </x:c>
      <x:c r="I179" s="24" t="n">
        <x:v>0.08</x:v>
      </x:c>
      <x:c r="J179" s="22" t="n">
        <x:v>21580.05818265017</x:v>
      </x:c>
      <x:c r="K179" s="22" t="n">
        <x:v>8071.349651623018</x:v>
      </x:c>
      <x:c r="L179" s="22" t="n">
        <x:v>13508.70853102715</x:v>
      </x:c>
      <x:c r="M179" s="24" t="n">
        <x:v>0.6259810986926725</x:v>
      </x:c>
    </x:row>
    <x:row r="180">
      <x:c r="A180" t="n">
        <x:v>10177</x:v>
      </x:c>
      <x:c r="B180" s="20" t="n">
        <x:v>46152</x:v>
      </x:c>
      <x:c r="C180" t="str">
        <x:v>Customer 16</x:v>
      </x:c>
      <x:c r="D180" t="str">
        <x:v>Mid-Market</x:v>
      </x:c>
      <x:c r="E180" t="str">
        <x:v>West</x:v>
      </x:c>
      <x:c r="F180" t="str">
        <x:v>Data Connect</x:v>
      </x:c>
      <x:c r="G180" t="n">
        <x:v>33</x:v>
      </x:c>
      <x:c r="H180" s="22" t="n">
        <x:v>254.67700019492617</x:v>
      </x:c>
      <x:c r="I180" s="24" t="n">
        <x:v>0.05</x:v>
      </x:c>
      <x:c r="J180" s="22" t="n">
        <x:v>7984.123956110935</x:v>
      </x:c>
      <x:c r="K180" s="22" t="n">
        <x:v>3674.844846689027</x:v>
      </x:c>
      <x:c r="L180" s="22" t="n">
        <x:v>4309.279109421908</x:v>
      </x:c>
      <x:c r="M180" s="24" t="n">
        <x:v>0.539730987784032</x:v>
      </x:c>
    </x:row>
    <x:row r="181">
      <x:c r="A181" t="n">
        <x:v>10178</x:v>
      </x:c>
      <x:c r="B181" s="20" t="n">
        <x:v>46155</x:v>
      </x:c>
      <x:c r="C181" t="str">
        <x:v>Customer 23</x:v>
      </x:c>
      <x:c r="D181" t="str">
        <x:v>SMB</x:v>
      </x:c>
      <x:c r="E181" t="str">
        <x:v>Northeast</x:v>
      </x:c>
      <x:c r="F181" t="str">
        <x:v>Reporting Suite</x:v>
      </x:c>
      <x:c r="G181" t="n">
        <x:v>12</x:v>
      </x:c>
      <x:c r="H181" s="22" t="n">
        <x:v>330.2273271610781</x:v>
      </x:c>
      <x:c r="I181" s="24" t="n">
        <x:v>0.08</x:v>
      </x:c>
      <x:c r="J181" s="22" t="n">
        <x:v>3645.7096918583024</x:v>
      </x:c>
      <x:c r="K181" s="22" t="n">
        <x:v>1615.069222040552</x:v>
      </x:c>
      <x:c r="L181" s="22" t="n">
        <x:v>2030.6404698177505</x:v>
      </x:c>
      <x:c r="M181" s="24" t="n">
        <x:v>0.556994561128285</x:v>
      </x:c>
    </x:row>
    <x:row r="182">
      <x:c r="A182" t="n">
        <x:v>10179</x:v>
      </x:c>
      <x:c r="B182" s="20" t="n">
        <x:v>46158</x:v>
      </x:c>
      <x:c r="C182" t="str">
        <x:v>Customer 30</x:v>
      </x:c>
      <x:c r="D182" t="str">
        <x:v>Enterprise</x:v>
      </x:c>
      <x:c r="E182" t="str">
        <x:v>Midwest</x:v>
      </x:c>
      <x:c r="F182" t="str">
        <x:v>Finance Cloud</x:v>
      </x:c>
      <x:c r="G182" t="n">
        <x:v>56</x:v>
      </x:c>
      <x:c r="H182" s="22" t="n">
        <x:v>692.7796809903008</x:v>
      </x:c>
      <x:c r="I182" s="24" t="n">
        <x:v>0.03</x:v>
      </x:c>
      <x:c r="J182" s="22" t="n">
        <x:v>37631.79227139313</x:v>
      </x:c>
      <x:c r="K182" s="22" t="n">
        <x:v>12344.033443510667</x:v>
      </x:c>
      <x:c r="L182" s="22" t="n">
        <x:v>25287.758827882466</x:v>
      </x:c>
      <x:c r="M182" s="24" t="n">
        <x:v>0.6719785931403982</x:v>
      </x:c>
    </x:row>
    <x:row r="183">
      <x:c r="A183" t="n">
        <x:v>10180</x:v>
      </x:c>
      <x:c r="B183" s="20" t="n">
        <x:v>46161</x:v>
      </x:c>
      <x:c r="C183" t="str">
        <x:v>Customer 07</x:v>
      </x:c>
      <x:c r="D183" t="str">
        <x:v>Mid-Market</x:v>
      </x:c>
      <x:c r="E183" t="str">
        <x:v>South</x:v>
      </x:c>
      <x:c r="F183" t="str">
        <x:v>Analytics Pro</x:v>
      </x:c>
      <x:c r="G183" t="n">
        <x:v>35</x:v>
      </x:c>
      <x:c r="H183" s="22" t="n">
        <x:v>422.851461381716</x:v>
      </x:c>
      <x:c r="I183" s="24" t="n">
        <x:v>0.02</x:v>
      </x:c>
      <x:c r="J183" s="22" t="n">
        <x:v>14503.805125392857</x:v>
      </x:c>
      <x:c r="K183" s="22" t="n">
        <x:v>5549.1502175438545</x:v>
      </x:c>
      <x:c r="L183" s="22" t="n">
        <x:v>8954.654907849002</x:v>
      </x:c>
      <x:c r="M183" s="24" t="n">
        <x:v>0.617400387721112</x:v>
      </x:c>
    </x:row>
    <x:row r="184">
      <x:c r="A184" t="n">
        <x:v>10181</x:v>
      </x:c>
      <x:c r="B184" s="20" t="n">
        <x:v>46164</x:v>
      </x:c>
      <x:c r="C184" t="str">
        <x:v>Customer 14</x:v>
      </x:c>
      <x:c r="D184" t="str">
        <x:v>SMB</x:v>
      </x:c>
      <x:c r="E184" t="str">
        <x:v>West</x:v>
      </x:c>
      <x:c r="F184" t="str">
        <x:v>Data Connect</x:v>
      </x:c>
      <x:c r="G184" t="n">
        <x:v>20</x:v>
      </x:c>
      <x:c r="H184" s="22" t="n">
        <x:v>257.7265831461314</x:v>
      </x:c>
      <x:c r="I184" s="24" t="n">
        <x:v>0.05</x:v>
      </x:c>
      <x:c r="J184" s="22" t="n">
        <x:v>4896.805079776496</x:v>
      </x:c>
      <x:c r="K184" s="22" t="n">
        <x:v>2250.390258803502</x:v>
      </x:c>
      <x:c r="L184" s="22" t="n">
        <x:v>2646.414820972994</x:v>
      </x:c>
      <x:c r="M184" s="24" t="n">
        <x:v>0.5404370355484487</x:v>
      </x:c>
    </x:row>
    <x:row r="185">
      <x:c r="A185" t="n">
        <x:v>10182</x:v>
      </x:c>
      <x:c r="B185" s="20" t="n">
        <x:v>46174</x:v>
      </x:c>
      <x:c r="C185" t="str">
        <x:v>Customer 19</x:v>
      </x:c>
      <x:c r="D185" t="str">
        <x:v>Enterprise</x:v>
      </x:c>
      <x:c r="E185" t="str">
        <x:v>South</x:v>
      </x:c>
      <x:c r="F185" t="str">
        <x:v>Reporting Suite</x:v>
      </x:c>
      <x:c r="G185" t="n">
        <x:v>51</x:v>
      </x:c>
      <x:c r="H185" s="22" t="n">
        <x:v>318.01157088101326</x:v>
      </x:c>
      <x:c r="I185" s="24" t="n">
        <x:v>0.03</x:v>
      </x:c>
      <x:c r="J185" s="22" t="n">
        <x:v>15732.032411483726</x:v>
      </x:c>
      <x:c r="K185" s="22" t="n">
        <x:v>6767.123954976079</x:v>
      </x:c>
      <x:c r="L185" s="22" t="n">
        <x:v>8964.908456507646</x:v>
      </x:c>
      <x:c r="M185" s="24" t="n">
        <x:v>0.5698506220953141</x:v>
      </x:c>
    </x:row>
    <x:row r="186">
      <x:c r="A186" t="n">
        <x:v>10183</x:v>
      </x:c>
      <x:c r="B186" s="20" t="n">
        <x:v>46177</x:v>
      </x:c>
      <x:c r="C186" t="str">
        <x:v>Customer 26</x:v>
      </x:c>
      <x:c r="D186" t="str">
        <x:v>Mid-Market</x:v>
      </x:c>
      <x:c r="E186" t="str">
        <x:v>West</x:v>
      </x:c>
      <x:c r="F186" t="str">
        <x:v>Finance Cloud</x:v>
      </x:c>
      <x:c r="G186" t="n">
        <x:v>16</x:v>
      </x:c>
      <x:c r="H186" s="22" t="n">
        <x:v>724.0489651578171</x:v>
      </x:c>
      <x:c r="I186" s="24" t="n">
        <x:v>0.08</x:v>
      </x:c>
      <x:c r="J186" s="22" t="n">
        <x:v>10658.000767123067</x:v>
      </x:c>
      <x:c r="K186" s="22" t="n">
        <x:v>3496.4546951983025</x:v>
      </x:c>
      <x:c r="L186" s="22" t="n">
        <x:v>7161.546071924764</x:v>
      </x:c>
      <x:c r="M186" s="24" t="n">
        <x:v>0.6719408478573315</x:v>
      </x:c>
    </x:row>
    <x:row r="187">
      <x:c r="A187" t="n">
        <x:v>10184</x:v>
      </x:c>
      <x:c r="B187" s="20" t="n">
        <x:v>46180</x:v>
      </x:c>
      <x:c r="C187" t="str">
        <x:v>Customer 03</x:v>
      </x:c>
      <x:c r="D187" t="str">
        <x:v>SMB</x:v>
      </x:c>
      <x:c r="E187" t="str">
        <x:v>Northeast</x:v>
      </x:c>
      <x:c r="F187" t="str">
        <x:v>Analytics Pro</x:v>
      </x:c>
      <x:c r="G187" t="n">
        <x:v>19</x:v>
      </x:c>
      <x:c r="H187" s="22" t="n">
        <x:v>468.36830372399317</x:v>
      </x:c>
      <x:c r="I187" s="24" t="n">
        <x:v>0.05</x:v>
      </x:c>
      <x:c r="J187" s="22" t="n">
        <x:v>8454.047882218076</x:v>
      </x:c>
      <x:c r="K187" s="22" t="n">
        <x:v>3049.703216024898</x:v>
      </x:c>
      <x:c r="L187" s="22" t="n">
        <x:v>5404.3446661931775</x:v>
      </x:c>
      <x:c r="M187" s="24" t="n">
        <x:v>0.6392611848769477</x:v>
      </x:c>
    </x:row>
    <x:row r="188">
      <x:c r="A188" t="n">
        <x:v>10185</x:v>
      </x:c>
      <x:c r="B188" s="20" t="n">
        <x:v>46183</x:v>
      </x:c>
      <x:c r="C188" t="str">
        <x:v>Customer 10</x:v>
      </x:c>
      <x:c r="D188" t="str">
        <x:v>Enterprise</x:v>
      </x:c>
      <x:c r="E188" t="str">
        <x:v>Midwest</x:v>
      </x:c>
      <x:c r="F188" t="str">
        <x:v>Data Connect</x:v>
      </x:c>
      <x:c r="G188" t="n">
        <x:v>45</x:v>
      </x:c>
      <x:c r="H188" s="22" t="n">
        <x:v>247.24522809424545</x:v>
      </x:c>
      <x:c r="I188" s="24" t="n">
        <x:v>0.02</x:v>
      </x:c>
      <x:c r="J188" s="22" t="n">
        <x:v>10903.514558956223</x:v>
      </x:c>
      <x:c r="K188" s="22" t="n">
        <x:v>4890.994888526022</x:v>
      </x:c>
      <x:c r="L188" s="22" t="n">
        <x:v>6012.519670430202</x:v>
      </x:c>
      <x:c r="M188" s="24" t="n">
        <x:v>0.5514295081572094</x:v>
      </x:c>
    </x:row>
    <x:row r="189">
      <x:c r="A189" t="n">
        <x:v>10186</x:v>
      </x:c>
      <x:c r="B189" s="20" t="n">
        <x:v>46186</x:v>
      </x:c>
      <x:c r="C189" t="str">
        <x:v>Customer 17</x:v>
      </x:c>
      <x:c r="D189" t="str">
        <x:v>Mid-Market</x:v>
      </x:c>
      <x:c r="E189" t="str">
        <x:v>South</x:v>
      </x:c>
      <x:c r="F189" t="str">
        <x:v>Reporting Suite</x:v>
      </x:c>
      <x:c r="G189" t="n">
        <x:v>32</x:v>
      </x:c>
      <x:c r="H189" s="22" t="n">
        <x:v>315.4266674245517</x:v>
      </x:c>
      <x:c r="I189" s="24" t="n">
        <x:v>0.03</x:v>
      </x:c>
      <x:c r="J189" s="22" t="n">
        <x:v>9790.843756858085</x:v>
      </x:c>
      <x:c r="K189" s="22" t="n">
        <x:v>4158.682443851159</x:v>
      </x:c>
      <x:c r="L189" s="22" t="n">
        <x:v>5632.161313006925</x:v>
      </x:c>
      <x:c r="M189" s="24" t="n">
        <x:v>0.5752477981340298</x:v>
      </x:c>
    </x:row>
    <x:row r="190">
      <x:c r="A190" t="n">
        <x:v>10187</x:v>
      </x:c>
      <x:c r="B190" s="20" t="n">
        <x:v>46189</x:v>
      </x:c>
      <x:c r="C190" t="str">
        <x:v>Customer 24</x:v>
      </x:c>
      <x:c r="D190" t="str">
        <x:v>SMB</x:v>
      </x:c>
      <x:c r="E190" t="str">
        <x:v>West</x:v>
      </x:c>
      <x:c r="F190" t="str">
        <x:v>Finance Cloud</x:v>
      </x:c>
      <x:c r="G190" t="n">
        <x:v>24</x:v>
      </x:c>
      <x:c r="H190" s="22" t="n">
        <x:v>683.9692071363446</x:v>
      </x:c>
      <x:c r="I190" s="24" t="n">
        <x:v>0.05</x:v>
      </x:c>
      <x:c r="J190" s="22" t="n">
        <x:v>15594.497922708655</x:v>
      </x:c>
      <x:c r="K190" s="22" t="n">
        <x:v>5137.356262367662</x:v>
      </x:c>
      <x:c r="L190" s="22" t="n">
        <x:v>10457.141660340993</x:v>
      </x:c>
      <x:c r="M190" s="24" t="n">
        <x:v>0.6705661004393952</x:v>
      </x:c>
    </x:row>
    <x:row r="191">
      <x:c r="A191" t="n">
        <x:v>10188</x:v>
      </x:c>
      <x:c r="B191" s="20" t="n">
        <x:v>46192</x:v>
      </x:c>
      <x:c r="C191" t="str">
        <x:v>Customer 01</x:v>
      </x:c>
      <x:c r="D191" t="str">
        <x:v>Enterprise</x:v>
      </x:c>
      <x:c r="E191" t="str">
        <x:v>Northeast</x:v>
      </x:c>
      <x:c r="F191" t="str">
        <x:v>Analytics Pro</x:v>
      </x:c>
      <x:c r="G191" t="n">
        <x:v>28</x:v>
      </x:c>
      <x:c r="H191" s="22" t="n">
        <x:v>455.8705723861427</x:v>
      </x:c>
      <x:c r="I191" s="24" t="n">
        <x:v>0.03</x:v>
      </x:c>
      <x:c r="J191" s="22" t="n">
        <x:v>12381.444746007637</x:v>
      </x:c>
      <x:c r="K191" s="22" t="n">
        <x:v>4705.241315227698</x:v>
      </x:c>
      <x:c r="L191" s="22" t="n">
        <x:v>7676.2034307799395</x:v>
      </x:c>
      <x:c r="M191" s="24" t="n">
        <x:v>0.6199763911441037</x:v>
      </x:c>
    </x:row>
    <x:row r="192">
      <x:c r="A192" t="n">
        <x:v>10189</x:v>
      </x:c>
      <x:c r="B192" s="20" t="n">
        <x:v>46195</x:v>
      </x:c>
      <x:c r="C192" t="str">
        <x:v>Customer 08</x:v>
      </x:c>
      <x:c r="D192" t="str">
        <x:v>Mid-Market</x:v>
      </x:c>
      <x:c r="E192" t="str">
        <x:v>Midwest</x:v>
      </x:c>
      <x:c r="F192" t="str">
        <x:v>Data Connect</x:v>
      </x:c>
      <x:c r="G192" t="n">
        <x:v>24</x:v>
      </x:c>
      <x:c r="H192" s="22" t="n">
        <x:v>240.35287001955734</x:v>
      </x:c>
      <x:c r="I192" s="24" t="n">
        <x:v>0.05</x:v>
      </x:c>
      <x:c r="J192" s="22" t="n">
        <x:v>5480.045436445907</x:v>
      </x:c>
      <x:c r="K192" s="22" t="n">
        <x:v>2639.884182929231</x:v>
      </x:c>
      <x:c r="L192" s="22" t="n">
        <x:v>2840.1612535166764</x:v>
      </x:c>
      <x:c r="M192" s="24" t="n">
        <x:v>0.5182733038357192</x:v>
      </x:c>
    </x:row>
    <x:row r="193">
      <x:c r="A193" t="n">
        <x:v>10190</x:v>
      </x:c>
      <x:c r="B193" s="20" t="n">
        <x:v>46198</x:v>
      </x:c>
      <x:c r="C193" t="str">
        <x:v>Customer 15</x:v>
      </x:c>
      <x:c r="D193" t="str">
        <x:v>SMB</x:v>
      </x:c>
      <x:c r="E193" t="str">
        <x:v>South</x:v>
      </x:c>
      <x:c r="F193" t="str">
        <x:v>Reporting Suite</x:v>
      </x:c>
      <x:c r="G193" t="n">
        <x:v>16</x:v>
      </x:c>
      <x:c r="H193" s="22" t="n">
        <x:v>332.6896362897792</x:v>
      </x:c>
      <x:c r="I193" s="24" t="n">
        <x:v>0</x:v>
      </x:c>
      <x:c r="J193" s="22" t="n">
        <x:v>5323.034180636467</x:v>
      </x:c>
      <x:c r="K193" s="22" t="n">
        <x:v>2126.9053083087965</x:v>
      </x:c>
      <x:c r="L193" s="22" t="n">
        <x:v>3196.1288723276703</x:v>
      </x:c>
      <x:c r="M193" s="24" t="n">
        <x:v>0.6004336556684507</x:v>
      </x:c>
    </x:row>
    <x:row r="194">
      <x:c r="A194" t="n">
        <x:v>10191</x:v>
      </x:c>
      <x:c r="B194" s="20" t="n">
        <x:v>46174</x:v>
      </x:c>
      <x:c r="C194" t="str">
        <x:v>Customer 22</x:v>
      </x:c>
      <x:c r="D194" t="str">
        <x:v>Enterprise</x:v>
      </x:c>
      <x:c r="E194" t="str">
        <x:v>West</x:v>
      </x:c>
      <x:c r="F194" t="str">
        <x:v>Finance Cloud</x:v>
      </x:c>
      <x:c r="G194" t="n">
        <x:v>59</x:v>
      </x:c>
      <x:c r="H194" s="22" t="n">
        <x:v>695.2174623503039</x:v>
      </x:c>
      <x:c r="I194" s="24" t="n">
        <x:v>0</x:v>
      </x:c>
      <x:c r="J194" s="22" t="n">
        <x:v>41017.83027866793</x:v>
      </x:c>
      <x:c r="K194" s="22" t="n">
        <x:v>14150.2745195429</x:v>
      </x:c>
      <x:c r="L194" s="22" t="n">
        <x:v>26867.555759125025</x:v>
      </x:c>
      <x:c r="M194" s="24" t="n">
        <x:v>0.6550213791561273</x:v>
      </x:c>
    </x:row>
    <x:row r="195">
      <x:c r="A195" t="n">
        <x:v>10192</x:v>
      </x:c>
      <x:c r="B195" s="20" t="n">
        <x:v>46177</x:v>
      </x:c>
      <x:c r="C195" t="str">
        <x:v>Customer 29</x:v>
      </x:c>
      <x:c r="D195" t="str">
        <x:v>Mid-Market</x:v>
      </x:c>
      <x:c r="E195" t="str">
        <x:v>Northeast</x:v>
      </x:c>
      <x:c r="F195" t="str">
        <x:v>Analytics Pro</x:v>
      </x:c>
      <x:c r="G195" t="n">
        <x:v>24</x:v>
      </x:c>
      <x:c r="H195" s="22" t="n">
        <x:v>454.4039713598163</x:v>
      </x:c>
      <x:c r="I195" s="24" t="n">
        <x:v>0.03</x:v>
      </x:c>
      <x:c r="J195" s="22" t="n">
        <x:v>10578.524453256523</x:v>
      </x:c>
      <x:c r="K195" s="22" t="n">
        <x:v>4060.1683217928403</x:v>
      </x:c>
      <x:c r="L195" s="22" t="n">
        <x:v>6518.356131463683</x:v>
      </x:c>
      <x:c r="M195" s="24" t="n">
        <x:v>0.6161876507698627</x:v>
      </x:c>
    </x:row>
    <x:row r="196">
      <x:c r="A196" t="n">
        <x:v>10193</x:v>
      </x:c>
      <x:c r="B196" s="20" t="n">
        <x:v>46180</x:v>
      </x:c>
      <x:c r="C196" t="str">
        <x:v>Customer 06</x:v>
      </x:c>
      <x:c r="D196" t="str">
        <x:v>SMB</x:v>
      </x:c>
      <x:c r="E196" t="str">
        <x:v>Midwest</x:v>
      </x:c>
      <x:c r="F196" t="str">
        <x:v>Data Connect</x:v>
      </x:c>
      <x:c r="G196" t="n">
        <x:v>16</x:v>
      </x:c>
      <x:c r="H196" s="22" t="n">
        <x:v>254.97892813766956</x:v>
      </x:c>
      <x:c r="I196" s="24" t="n">
        <x:v>0.05</x:v>
      </x:c>
      <x:c r="J196" s="22" t="n">
        <x:v>3875.6797076925773</x:v>
      </x:c>
      <x:c r="K196" s="22" t="n">
        <x:v>1902.1977056700537</x:v>
      </x:c>
      <x:c r="L196" s="22" t="n">
        <x:v>1973.4820020225236</x:v>
      </x:c>
      <x:c r="M196" s="24" t="n">
        <x:v>0.5091963606036617</x:v>
      </x:c>
    </x:row>
    <x:row r="197">
      <x:c r="A197" t="n">
        <x:v>10194</x:v>
      </x:c>
      <x:c r="B197" s="20" t="n">
        <x:v>46183</x:v>
      </x:c>
      <x:c r="C197" t="str">
        <x:v>Customer 13</x:v>
      </x:c>
      <x:c r="D197" t="str">
        <x:v>Enterprise</x:v>
      </x:c>
      <x:c r="E197" t="str">
        <x:v>South</x:v>
      </x:c>
      <x:c r="F197" t="str">
        <x:v>Reporting Suite</x:v>
      </x:c>
      <x:c r="G197" t="n">
        <x:v>40</x:v>
      </x:c>
      <x:c r="H197" s="22" t="n">
        <x:v>316.04048005330236</x:v>
      </x:c>
      <x:c r="I197" s="24" t="n">
        <x:v>0.08</x:v>
      </x:c>
      <x:c r="J197" s="22" t="n">
        <x:v>11630.289665961527</x:v>
      </x:c>
      <x:c r="K197" s="22" t="n">
        <x:v>4847.437851092275</x:v>
      </x:c>
      <x:c r="L197" s="22" t="n">
        <x:v>6782.851814869252</x:v>
      </x:c>
      <x:c r="M197" s="24" t="n">
        <x:v>0.5832057506461499</x:v>
      </x:c>
    </x:row>
    <x:row r="198">
      <x:c r="A198" t="n">
        <x:v>10195</x:v>
      </x:c>
      <x:c r="B198" s="20" t="n">
        <x:v>46186</x:v>
      </x:c>
      <x:c r="C198" t="str">
        <x:v>Customer 20</x:v>
      </x:c>
      <x:c r="D198" t="str">
        <x:v>Mid-Market</x:v>
      </x:c>
      <x:c r="E198" t="str">
        <x:v>West</x:v>
      </x:c>
      <x:c r="F198" t="str">
        <x:v>Finance Cloud</x:v>
      </x:c>
      <x:c r="G198" t="n">
        <x:v>36</x:v>
      </x:c>
      <x:c r="H198" s="22" t="n">
        <x:v>686.5204594553219</x:v>
      </x:c>
      <x:c r="I198" s="24" t="n">
        <x:v>0.05</x:v>
      </x:c>
      <x:c r="J198" s="22" t="n">
        <x:v>23478.999713372006</x:v>
      </x:c>
      <x:c r="K198" s="22" t="n">
        <x:v>7317.5922994111015</x:v>
      </x:c>
      <x:c r="L198" s="22" t="n">
        <x:v>16161.407413960904</x:v>
      </x:c>
      <x:c r="M198" s="24" t="n">
        <x:v>0.6883345803167453</x:v>
      </x:c>
    </x:row>
    <x:row r="199">
      <x:c r="A199" t="n">
        <x:v>10196</x:v>
      </x:c>
      <x:c r="B199" s="20" t="n">
        <x:v>46189</x:v>
      </x:c>
      <x:c r="C199" t="str">
        <x:v>Customer 27</x:v>
      </x:c>
      <x:c r="D199" t="str">
        <x:v>SMB</x:v>
      </x:c>
      <x:c r="E199" t="str">
        <x:v>Northeast</x:v>
      </x:c>
      <x:c r="F199" t="str">
        <x:v>Analytics Pro</x:v>
      </x:c>
      <x:c r="G199" t="n">
        <x:v>4</x:v>
      </x:c>
      <x:c r="H199" s="22" t="n">
        <x:v>454.2892126126598</x:v>
      </x:c>
      <x:c r="I199" s="24" t="n">
        <x:v>0.02</x:v>
      </x:c>
      <x:c r="J199" s="22" t="n">
        <x:v>1780.8137134416265</x:v>
      </x:c>
      <x:c r="K199" s="22" t="n">
        <x:v>661.5548126140129</x:v>
      </x:c>
      <x:c r="L199" s="22" t="n">
        <x:v>1119.2589008276136</x:v>
      </x:c>
      <x:c r="M199" s="24" t="n">
        <x:v>0.6285098168210518</x:v>
      </x:c>
    </x:row>
    <x:row r="200">
      <x:c r="A200" t="n">
        <x:v>10197</x:v>
      </x:c>
      <x:c r="B200" s="20" t="n">
        <x:v>46192</x:v>
      </x:c>
      <x:c r="C200" t="str">
        <x:v>Customer 04</x:v>
      </x:c>
      <x:c r="D200" t="str">
        <x:v>Enterprise</x:v>
      </x:c>
      <x:c r="E200" t="str">
        <x:v>Midwest</x:v>
      </x:c>
      <x:c r="F200" t="str">
        <x:v>Data Connect</x:v>
      </x:c>
      <x:c r="G200" t="n">
        <x:v>42</x:v>
      </x:c>
      <x:c r="H200" s="22" t="n">
        <x:v>267.9908683757857</x:v>
      </x:c>
      <x:c r="I200" s="24" t="n">
        <x:v>0.08</x:v>
      </x:c>
      <x:c r="J200" s="22" t="n">
        <x:v>10355.167154040359</x:v>
      </x:c>
      <x:c r="K200" s="22" t="n">
        <x:v>4627.049629471562</x:v>
      </x:c>
      <x:c r="L200" s="22" t="n">
        <x:v>5728.117524568796</x:v>
      </x:c>
      <x:c r="M200" s="24" t="n">
        <x:v>0.5531651434843146</x:v>
      </x:c>
    </x:row>
    <x:row r="201">
      <x:c r="A201" t="n">
        <x:v>10198</x:v>
      </x:c>
      <x:c r="B201" s="20" t="n">
        <x:v>46195</x:v>
      </x:c>
      <x:c r="C201" t="str">
        <x:v>Customer 11</x:v>
      </x:c>
      <x:c r="D201" t="str">
        <x:v>Mid-Market</x:v>
      </x:c>
      <x:c r="E201" t="str">
        <x:v>South</x:v>
      </x:c>
      <x:c r="F201" t="str">
        <x:v>Reporting Suite</x:v>
      </x:c>
      <x:c r="G201" t="n">
        <x:v>21</x:v>
      </x:c>
      <x:c r="H201" s="22" t="n">
        <x:v>312.35637374873494</x:v>
      </x:c>
      <x:c r="I201" s="24" t="n">
        <x:v>0.03</x:v>
      </x:c>
      <x:c r="J201" s="22" t="n">
        <x:v>6362.69933326173</x:v>
      </x:c>
      <x:c r="K201" s="22" t="n">
        <x:v>2616.1109318583467</x:v>
      </x:c>
      <x:c r="L201" s="22" t="n">
        <x:v>3746.5884014033836</x:v>
      </x:c>
      <x:c r="M201" s="24" t="n">
        <x:v>0.5888363106862002</x:v>
      </x:c>
    </x:row>
    <x:row r="202">
      <x:c r="A202" t="n">
        <x:v>10199</x:v>
      </x:c>
      <x:c r="B202" s="20" t="n">
        <x:v>46198</x:v>
      </x:c>
      <x:c r="C202" t="str">
        <x:v>Customer 18</x:v>
      </x:c>
      <x:c r="D202" t="str">
        <x:v>SMB</x:v>
      </x:c>
      <x:c r="E202" t="str">
        <x:v>West</x:v>
      </x:c>
      <x:c r="F202" t="str">
        <x:v>Finance Cloud</x:v>
      </x:c>
      <x:c r="G202" t="n">
        <x:v>23</x:v>
      </x:c>
      <x:c r="H202" s="22" t="n">
        <x:v>690.2068181425705</x:v>
      </x:c>
      <x:c r="I202" s="24" t="n">
        <x:v>0</x:v>
      </x:c>
      <x:c r="J202" s="22" t="n">
        <x:v>15874.75681727912</x:v>
      </x:c>
      <x:c r="K202" s="22" t="n">
        <x:v>5205.063196286214</x:v>
      </x:c>
      <x:c r="L202" s="22" t="n">
        <x:v>10669.693620992904</x:v>
      </x:c>
      <x:c r="M202" s="24" t="n">
        <x:v>0.6721169806758435</x:v>
      </x:c>
    </x:row>
    <x:row r="203">
      <x:c r="A203" t="n">
        <x:v>10200</x:v>
      </x:c>
      <x:c r="B203" s="20" t="n">
        <x:v>46174</x:v>
      </x:c>
      <x:c r="C203" t="str">
        <x:v>Customer 25</x:v>
      </x:c>
      <x:c r="D203" t="str">
        <x:v>Enterprise</x:v>
      </x:c>
      <x:c r="E203" t="str">
        <x:v>Northeast</x:v>
      </x:c>
      <x:c r="F203" t="str">
        <x:v>Analytics Pro</x:v>
      </x:c>
      <x:c r="G203" t="n">
        <x:v>43</x:v>
      </x:c>
      <x:c r="H203" s="22" t="n">
        <x:v>447.47552018493883</x:v>
      </x:c>
      <x:c r="I203" s="24" t="n">
        <x:v>0.05</x:v>
      </x:c>
      <x:c r="J203" s="22" t="n">
        <x:v>18279.37499955475</x:v>
      </x:c>
      <x:c r="K203" s="22" t="n">
        <x:v>6538.718964997392</x:v>
      </x:c>
      <x:c r="L203" s="22" t="n">
        <x:v>11740.65603455736</x:v>
      </x:c>
      <x:c r="M203" s="24" t="n">
        <x:v>0.6422897957311636</x:v>
      </x:c>
    </x:row>
    <x:row r="204">
      <x:c r="A204" t="n">
        <x:v>10201</x:v>
      </x:c>
      <x:c r="B204" s="20" t="n">
        <x:v>46177</x:v>
      </x:c>
      <x:c r="C204" t="str">
        <x:v>Customer 02</x:v>
      </x:c>
      <x:c r="D204" t="str">
        <x:v>Mid-Market</x:v>
      </x:c>
      <x:c r="E204" t="str">
        <x:v>Midwest</x:v>
      </x:c>
      <x:c r="F204" t="str">
        <x:v>Data Connect</x:v>
      </x:c>
      <x:c r="G204" t="n">
        <x:v>16</x:v>
      </x:c>
      <x:c r="H204" s="22" t="n">
        <x:v>254.35399742952345</x:v>
      </x:c>
      <x:c r="I204" s="24" t="n">
        <x:v>0.05</x:v>
      </x:c>
      <x:c r="J204" s="22" t="n">
        <x:v>3866.180760928756</x:v>
      </x:c>
      <x:c r="K204" s="22" t="n">
        <x:v>1867.363478063648</x:v>
      </x:c>
      <x:c r="L204" s="22" t="n">
        <x:v>1998.8172828651082</x:v>
      </x:c>
      <x:c r="M204" s="24" t="n">
        <x:v>0.5170004731969492</x:v>
      </x:c>
    </x:row>
    <x:row r="205">
      <x:c r="A205" t="n">
        <x:v>10202</x:v>
      </x:c>
      <x:c r="B205" s="20" t="n">
        <x:v>46180</x:v>
      </x:c>
      <x:c r="C205" t="str">
        <x:v>Customer 09</x:v>
      </x:c>
      <x:c r="D205" t="str">
        <x:v>SMB</x:v>
      </x:c>
      <x:c r="E205" t="str">
        <x:v>South</x:v>
      </x:c>
      <x:c r="F205" t="str">
        <x:v>Reporting Suite</x:v>
      </x:c>
      <x:c r="G205" t="n">
        <x:v>14</x:v>
      </x:c>
      <x:c r="H205" s="22" t="n">
        <x:v>316.91070845462804</x:v>
      </x:c>
      <x:c r="I205" s="24" t="n">
        <x:v>0.08</x:v>
      </x:c>
      <x:c r="J205" s="22" t="n">
        <x:v>4081.809924895609</x:v>
      </x:c>
      <x:c r="K205" s="22" t="n">
        <x:v>1639.0534752448932</x:v>
      </x:c>
      <x:c r="L205" s="22" t="n">
        <x:v>2442.7564496507157</x:v>
      </x:c>
      <x:c r="M205" s="24" t="n">
        <x:v>0.5984493385524776</x:v>
      </x:c>
    </x:row>
    <x:row r="206">
      <x:c r="A206" t="n">
        <x:v>10203</x:v>
      </x:c>
      <x:c r="B206" s="20" t="n">
        <x:v>46183</x:v>
      </x:c>
      <x:c r="C206" t="str">
        <x:v>Customer 16</x:v>
      </x:c>
      <x:c r="D206" t="str">
        <x:v>Enterprise</x:v>
      </x:c>
      <x:c r="E206" t="str">
        <x:v>West</x:v>
      </x:c>
      <x:c r="F206" t="str">
        <x:v>Finance Cloud</x:v>
      </x:c>
      <x:c r="G206" t="n">
        <x:v>41</x:v>
      </x:c>
      <x:c r="H206" s="22" t="n">
        <x:v>687.7359713718258</x:v>
      </x:c>
      <x:c r="I206" s="24" t="n">
        <x:v>0</x:v>
      </x:c>
      <x:c r="J206" s="22" t="n">
        <x:v>28197.17482624486</x:v>
      </x:c>
      <x:c r="K206" s="22" t="n">
        <x:v>9690.166118608626</x:v>
      </x:c>
      <x:c r="L206" s="22" t="n">
        <x:v>18507.008707636232</x:v>
      </x:c>
      <x:c r="M206" s="24" t="n">
        <x:v>0.6563426592089152</x:v>
      </x:c>
    </x:row>
    <x:row r="207">
      <x:c r="A207" t="n">
        <x:v>10204</x:v>
      </x:c>
      <x:c r="B207" s="20" t="n">
        <x:v>46186</x:v>
      </x:c>
      <x:c r="C207" t="str">
        <x:v>Customer 23</x:v>
      </x:c>
      <x:c r="D207" t="str">
        <x:v>Mid-Market</x:v>
      </x:c>
      <x:c r="E207" t="str">
        <x:v>Northeast</x:v>
      </x:c>
      <x:c r="F207" t="str">
        <x:v>Analytics Pro</x:v>
      </x:c>
      <x:c r="G207" t="n">
        <x:v>44</x:v>
      </x:c>
      <x:c r="H207" s="22" t="n">
        <x:v>451.0163599421869</x:v>
      </x:c>
      <x:c r="I207" s="24" t="n">
        <x:v>0.02</x:v>
      </x:c>
      <x:c r="J207" s="22" t="n">
        <x:v>19447.8254407071</x:v>
      </x:c>
      <x:c r="K207" s="22" t="n">
        <x:v>7594.164655619109</x:v>
      </x:c>
      <x:c r="L207" s="22" t="n">
        <x:v>11853.660785087992</x:v>
      </x:c>
      <x:c r="M207" s="24" t="n">
        <x:v>0.6095108587449871</x:v>
      </x:c>
    </x:row>
    <x:row r="208">
      <x:c r="A208" t="n">
        <x:v>10205</x:v>
      </x:c>
      <x:c r="B208" s="20" t="n">
        <x:v>46189</x:v>
      </x:c>
      <x:c r="C208" t="str">
        <x:v>Customer 30</x:v>
      </x:c>
      <x:c r="D208" t="str">
        <x:v>SMB</x:v>
      </x:c>
      <x:c r="E208" t="str">
        <x:v>Midwest</x:v>
      </x:c>
      <x:c r="F208" t="str">
        <x:v>Data Connect</x:v>
      </x:c>
      <x:c r="G208" t="n">
        <x:v>15</x:v>
      </x:c>
      <x:c r="H208" s="22" t="n">
        <x:v>251.59113970158617</x:v>
      </x:c>
      <x:c r="I208" s="24" t="n">
        <x:v>0.02</x:v>
      </x:c>
      <x:c r="J208" s="22" t="n">
        <x:v>3698.3897536133168</x:v>
      </x:c>
      <x:c r="K208" s="22" t="n">
        <x:v>1829.271122222373</x:v>
      </x:c>
      <x:c r="L208" s="22" t="n">
        <x:v>1869.1186313909438</x:v>
      </x:c>
      <x:c r="M208" s="24" t="n">
        <x:v>0.505387143030239</x:v>
      </x:c>
    </x:row>
    <x:row r="209">
      <x:c r="A209" t="n">
        <x:v>10206</x:v>
      </x:c>
      <x:c r="B209" s="20" t="n">
        <x:v>46192</x:v>
      </x:c>
      <x:c r="C209" t="str">
        <x:v>Customer 07</x:v>
      </x:c>
      <x:c r="D209" t="str">
        <x:v>Enterprise</x:v>
      </x:c>
      <x:c r="E209" t="str">
        <x:v>South</x:v>
      </x:c>
      <x:c r="F209" t="str">
        <x:v>Reporting Suite</x:v>
      </x:c>
      <x:c r="G209" t="n">
        <x:v>46</x:v>
      </x:c>
      <x:c r="H209" s="22" t="n">
        <x:v>344.88265096838774</x:v>
      </x:c>
      <x:c r="I209" s="24" t="n">
        <x:v>0.05</x:v>
      </x:c>
      <x:c r="J209" s="22" t="n">
        <x:v>15071.371847318542</x:v>
      </x:c>
      <x:c r="K209" s="22" t="n">
        <x:v>6666.867110195594</x:v>
      </x:c>
      <x:c r="L209" s="22" t="n">
        <x:v>8404.504737122948</x:v>
      </x:c>
      <x:c r="M209" s="24" t="n">
        <x:v>0.5576469628820322</x:v>
      </x:c>
    </x:row>
    <x:row r="210">
      <x:c r="A210" t="n">
        <x:v>10207</x:v>
      </x:c>
      <x:c r="B210" s="20" t="n">
        <x:v>46195</x:v>
      </x:c>
      <x:c r="C210" t="str">
        <x:v>Customer 14</x:v>
      </x:c>
      <x:c r="D210" t="str">
        <x:v>Mid-Market</x:v>
      </x:c>
      <x:c r="E210" t="str">
        <x:v>West</x:v>
      </x:c>
      <x:c r="F210" t="str">
        <x:v>Finance Cloud</x:v>
      </x:c>
      <x:c r="G210" t="n">
        <x:v>25</x:v>
      </x:c>
      <x:c r="H210" s="22" t="n">
        <x:v>724.7717549953517</x:v>
      </x:c>
      <x:c r="I210" s="24" t="n">
        <x:v>0.03</x:v>
      </x:c>
      <x:c r="J210" s="22" t="n">
        <x:v>17575.715058637277</x:v>
      </x:c>
      <x:c r="K210" s="22" t="n">
        <x:v>5632.025419206813</x:v>
      </x:c>
      <x:c r="L210" s="22" t="n">
        <x:v>11943.689639430464</x:v>
      </x:c>
      <x:c r="M210" s="24" t="n">
        <x:v>0.6795563992465243</x:v>
      </x:c>
    </x:row>
    <x:row r="211">
      <x:c r="A211" t="n">
        <x:v>10208</x:v>
      </x:c>
      <x:c r="B211" s="20" t="n">
        <x:v>46198</x:v>
      </x:c>
      <x:c r="C211" t="str">
        <x:v>Customer 21</x:v>
      </x:c>
      <x:c r="D211" t="str">
        <x:v>SMB</x:v>
      </x:c>
      <x:c r="E211" t="str">
        <x:v>Northeast</x:v>
      </x:c>
      <x:c r="F211" t="str">
        <x:v>Analytics Pro</x:v>
      </x:c>
      <x:c r="G211" t="n">
        <x:v>12</x:v>
      </x:c>
      <x:c r="H211" s="22" t="n">
        <x:v>433.09545168201004</x:v>
      </x:c>
      <x:c r="I211" s="24" t="n">
        <x:v>0.05</x:v>
      </x:c>
      <x:c r="J211" s="22" t="n">
        <x:v>4937.288149174914</x:v>
      </x:c>
      <x:c r="K211" s="22" t="n">
        <x:v>1994.7248033493424</x:v>
      </x:c>
      <x:c r="L211" s="22" t="n">
        <x:v>2942.5633458255716</x:v>
      </x:c>
      <x:c r="M211" s="24" t="n">
        <x:v>0.5959877683698313</x:v>
      </x:c>
    </x:row>
    <x:row r="212">
      <x:c r="A212" t="n">
        <x:v>10209</x:v>
      </x:c>
      <x:c r="B212" s="20" t="n">
        <x:v>46174</x:v>
      </x:c>
      <x:c r="C212" t="str">
        <x:v>Customer 28</x:v>
      </x:c>
      <x:c r="D212" t="str">
        <x:v>Enterprise</x:v>
      </x:c>
      <x:c r="E212" t="str">
        <x:v>Midwest</x:v>
      </x:c>
      <x:c r="F212" t="str">
        <x:v>Data Connect</x:v>
      </x:c>
      <x:c r="G212" t="n">
        <x:v>45</x:v>
      </x:c>
      <x:c r="H212" s="22" t="n">
        <x:v>250.846113812409</x:v>
      </x:c>
      <x:c r="I212" s="24" t="n">
        <x:v>0.08</x:v>
      </x:c>
      <x:c r="J212" s="22" t="n">
        <x:v>10385.029111833732</x:v>
      </x:c>
      <x:c r="K212" s="22" t="n">
        <x:v>4885.242777516837</x:v>
      </x:c>
      <x:c r="L212" s="22" t="n">
        <x:v>5499.786334316895</x:v>
      </x:c>
      <x:c r="M212" s="24" t="n">
        <x:v>0.5295879554203553</x:v>
      </x:c>
    </x:row>
    <x:row r="213">
      <x:c r="A213" t="n">
        <x:v>10210</x:v>
      </x:c>
      <x:c r="B213" s="20" t="n">
        <x:v>46177</x:v>
      </x:c>
      <x:c r="C213" t="str">
        <x:v>Customer 05</x:v>
      </x:c>
      <x:c r="D213" t="str">
        <x:v>Mid-Market</x:v>
      </x:c>
      <x:c r="E213" t="str">
        <x:v>South</x:v>
      </x:c>
      <x:c r="F213" t="str">
        <x:v>Reporting Suite</x:v>
      </x:c>
      <x:c r="G213" t="n">
        <x:v>38</x:v>
      </x:c>
      <x:c r="H213" s="22" t="n">
        <x:v>343.5575928929359</x:v>
      </x:c>
      <x:c r="I213" s="24" t="n">
        <x:v>0</x:v>
      </x:c>
      <x:c r="J213" s="22" t="n">
        <x:v>13055.188529931564</x:v>
      </x:c>
      <x:c r="K213" s="22" t="n">
        <x:v>5337.122565560252</x:v>
      </x:c>
      <x:c r="L213" s="22" t="n">
        <x:v>7718.065964371312</x:v>
      </x:c>
      <x:c r="M213" s="24" t="n">
        <x:v>0.591187629858898</x:v>
      </x:c>
    </x:row>
    <x:row r="214">
      <x:c r="A214" t="n">
        <x:v>10211</x:v>
      </x:c>
      <x:c r="B214" s="20" t="n">
        <x:v>46180</x:v>
      </x:c>
      <x:c r="C214" t="str">
        <x:v>Customer 12</x:v>
      </x:c>
      <x:c r="D214" t="str">
        <x:v>SMB</x:v>
      </x:c>
      <x:c r="E214" t="str">
        <x:v>West</x:v>
      </x:c>
      <x:c r="F214" t="str">
        <x:v>Finance Cloud</x:v>
      </x:c>
      <x:c r="G214" t="n">
        <x:v>18</x:v>
      </x:c>
      <x:c r="H214" s="22" t="n">
        <x:v>724.9036571896708</x:v>
      </x:c>
      <x:c r="I214" s="24" t="n">
        <x:v>0.08</x:v>
      </x:c>
      <x:c r="J214" s="22" t="n">
        <x:v>12004.404563060947</x:v>
      </x:c>
      <x:c r="K214" s="22" t="n">
        <x:v>3701.661782885254</x:v>
      </x:c>
      <x:c r="L214" s="22" t="n">
        <x:v>8302.742780175693</x:v>
      </x:c>
      <x:c r="M214" s="24" t="n">
        <x:v>0.6916413668466548</x:v>
      </x:c>
    </x:row>
    <x:row r="215">
      <x:c r="A215" t="n">
        <x:v>10212</x:v>
      </x:c>
      <x:c r="B215" s="20" t="n">
        <x:v>46183</x:v>
      </x:c>
      <x:c r="C215" t="str">
        <x:v>Customer 19</x:v>
      </x:c>
      <x:c r="D215" t="str">
        <x:v>Enterprise</x:v>
      </x:c>
      <x:c r="E215" t="str">
        <x:v>Northeast</x:v>
      </x:c>
      <x:c r="F215" t="str">
        <x:v>Analytics Pro</x:v>
      </x:c>
      <x:c r="G215" t="n">
        <x:v>36</x:v>
      </x:c>
      <x:c r="H215" s="22" t="n">
        <x:v>418.6250464159727</x:v>
      </x:c>
      <x:c r="I215" s="24" t="n">
        <x:v>0.03</x:v>
      </x:c>
      <x:c r="J215" s="22" t="n">
        <x:v>14618.386620845766</x:v>
      </x:c>
      <x:c r="K215" s="22" t="n">
        <x:v>5801.654591515756</x:v>
      </x:c>
      <x:c r="L215" s="22" t="n">
        <x:v>8816.73202933001</x:v>
      </x:c>
      <x:c r="M215" s="24" t="n">
        <x:v>0.603126203869679</x:v>
      </x:c>
    </x:row>
    <x:row r="216">
      <x:c r="A216" t="n">
        <x:v>10213</x:v>
      </x:c>
      <x:c r="B216" s="20" t="n">
        <x:v>46186</x:v>
      </x:c>
      <x:c r="C216" t="str">
        <x:v>Customer 26</x:v>
      </x:c>
      <x:c r="D216" t="str">
        <x:v>Mid-Market</x:v>
      </x:c>
      <x:c r="E216" t="str">
        <x:v>Midwest</x:v>
      </x:c>
      <x:c r="F216" t="str">
        <x:v>Data Connect</x:v>
      </x:c>
      <x:c r="G216" t="n">
        <x:v>17</x:v>
      </x:c>
      <x:c r="H216" s="22" t="n">
        <x:v>265.55067543500905</x:v>
      </x:c>
      <x:c r="I216" s="24" t="n">
        <x:v>0.05</x:v>
      </x:c>
      <x:c r="J216" s="22" t="n">
        <x:v>4288.643408275396</x:v>
      </x:c>
      <x:c r="K216" s="22" t="n">
        <x:v>2023.9353189022947</x:v>
      </x:c>
      <x:c r="L216" s="22" t="n">
        <x:v>2264.708089373101</x:v>
      </x:c>
      <x:c r="M216" s="24" t="n">
        <x:v>0.5280709711148063</x:v>
      </x:c>
    </x:row>
    <x:row r="217">
      <x:c r="A217" t="n">
        <x:v>10214</x:v>
      </x:c>
      <x:c r="B217" s="20" t="n">
        <x:v>46189</x:v>
      </x:c>
      <x:c r="C217" t="str">
        <x:v>Customer 03</x:v>
      </x:c>
      <x:c r="D217" t="str">
        <x:v>SMB</x:v>
      </x:c>
      <x:c r="E217" t="str">
        <x:v>South</x:v>
      </x:c>
      <x:c r="F217" t="str">
        <x:v>Reporting Suite</x:v>
      </x:c>
      <x:c r="G217" t="n">
        <x:v>10</x:v>
      </x:c>
      <x:c r="H217" s="22" t="n">
        <x:v>322.4929272688387</x:v>
      </x:c>
      <x:c r="I217" s="24" t="n">
        <x:v>0.08</x:v>
      </x:c>
      <x:c r="J217" s="22" t="n">
        <x:v>2966.934930873316</x:v>
      </x:c>
      <x:c r="K217" s="22" t="n">
        <x:v>1285.1089774469385</x:v>
      </x:c>
      <x:c r="L217" s="22" t="n">
        <x:v>1681.8259534263773</x:v>
      </x:c>
      <x:c r="M217" s="24" t="n">
        <x:v>0.566856366119001</x:v>
      </x:c>
    </x:row>
    <x:row r="218">
      <x:c r="A218" t="n">
        <x:v>10215</x:v>
      </x:c>
      <x:c r="B218" s="20" t="n">
        <x:v>46192</x:v>
      </x:c>
      <x:c r="C218" t="str">
        <x:v>Customer 10</x:v>
      </x:c>
      <x:c r="D218" t="str">
        <x:v>Enterprise</x:v>
      </x:c>
      <x:c r="E218" t="str">
        <x:v>West</x:v>
      </x:c>
      <x:c r="F218" t="str">
        <x:v>Finance Cloud</x:v>
      </x:c>
      <x:c r="G218" t="n">
        <x:v>31</x:v>
      </x:c>
      <x:c r="H218" s="22" t="n">
        <x:v>719.5586671697928</x:v>
      </x:c>
      <x:c r="I218" s="24" t="n">
        <x:v>0.02</x:v>
      </x:c>
      <x:c r="J218" s="22" t="n">
        <x:v>21860.192308618305</x:v>
      </x:c>
      <x:c r="K218" s="22" t="n">
        <x:v>7073.737051812621</x:v>
      </x:c>
      <x:c r="L218" s="22" t="n">
        <x:v>14786.455256805684</x:v>
      </x:c>
      <x:c r="M218" s="24" t="n">
        <x:v>0.676410117900755</x:v>
      </x:c>
    </x:row>
    <x:row r="219">
      <x:c r="A219" t="n">
        <x:v>10216</x:v>
      </x:c>
      <x:c r="B219" s="20" t="n">
        <x:v>46195</x:v>
      </x:c>
      <x:c r="C219" t="str">
        <x:v>Customer 17</x:v>
      </x:c>
      <x:c r="D219" t="str">
        <x:v>Mid-Market</x:v>
      </x:c>
      <x:c r="E219" t="str">
        <x:v>Northeast</x:v>
      </x:c>
      <x:c r="F219" t="str">
        <x:v>Analytics Pro</x:v>
      </x:c>
      <x:c r="G219" t="n">
        <x:v>40</x:v>
      </x:c>
      <x:c r="H219" s="22" t="n">
        <x:v>430.9658401181969</x:v>
      </x:c>
      <x:c r="I219" s="24" t="n">
        <x:v>0.05</x:v>
      </x:c>
      <x:c r="J219" s="22" t="n">
        <x:v>16376.701924491483</x:v>
      </x:c>
      <x:c r="K219" s="22" t="n">
        <x:v>5849.469123550759</x:v>
      </x:c>
      <x:c r="L219" s="22" t="n">
        <x:v>10527.232800940725</x:v>
      </x:c>
      <x:c r="M219" s="24" t="n">
        <x:v>0.6428176350451349</x:v>
      </x:c>
    </x:row>
    <x:row r="220">
      <x:c r="A220" t="n">
        <x:v>10217</x:v>
      </x:c>
      <x:c r="B220" s="20" t="n">
        <x:v>46198</x:v>
      </x:c>
      <x:c r="C220" t="str">
        <x:v>Customer 24</x:v>
      </x:c>
      <x:c r="D220" t="str">
        <x:v>SMB</x:v>
      </x:c>
      <x:c r="E220" t="str">
        <x:v>Midwest</x:v>
      </x:c>
      <x:c r="F220" t="str">
        <x:v>Data Connect</x:v>
      </x:c>
      <x:c r="G220" t="n">
        <x:v>15</x:v>
      </x:c>
      <x:c r="H220" s="22" t="n">
        <x:v>263.90669097750055</x:v>
      </x:c>
      <x:c r="I220" s="24" t="n">
        <x:v>0.05</x:v>
      </x:c>
      <x:c r="J220" s="22" t="n">
        <x:v>3760.6703464293823</x:v>
      </x:c>
      <x:c r="K220" s="22" t="n">
        <x:v>1859.3532655155227</x:v>
      </x:c>
      <x:c r="L220" s="22" t="n">
        <x:v>1901.3170809138596</x:v>
      </x:c>
      <x:c r="M220" s="24" t="n">
        <x:v>0.505579299903032</x:v>
      </x:c>
    </x:row>
    <x:row r="221">
      <x:c r="A221" t="n">
        <x:v>10218</x:v>
      </x:c>
      <x:c r="B221" s="20" t="n">
        <x:v>46174</x:v>
      </x:c>
      <x:c r="C221" t="str">
        <x:v>Customer 01</x:v>
      </x:c>
      <x:c r="D221" t="str">
        <x:v>Enterprise</x:v>
      </x:c>
      <x:c r="E221" t="str">
        <x:v>South</x:v>
      </x:c>
      <x:c r="F221" t="str">
        <x:v>Reporting Suite</x:v>
      </x:c>
      <x:c r="G221" t="n">
        <x:v>32</x:v>
      </x:c>
      <x:c r="H221" s="22" t="n">
        <x:v>340.1296668287197</x:v>
      </x:c>
      <x:c r="I221" s="24" t="n">
        <x:v>0.02</x:v>
      </x:c>
      <x:c r="J221" s="22" t="n">
        <x:v>10666.46635174865</x:v>
      </x:c>
      <x:c r="K221" s="22" t="n">
        <x:v>4477.424527650251</x:v>
      </x:c>
      <x:c r="L221" s="22" t="n">
        <x:v>6189.041824098399</x:v>
      </x:c>
      <x:c r="M221" s="24" t="n">
        <x:v>0.5802335675191788</x:v>
      </x:c>
    </x:row>
    <x:row r="222">
      <x:c r="A222" t="n">
        <x:v>10219</x:v>
      </x:c>
      <x:c r="B222" s="20" t="n">
        <x:v>46177</x:v>
      </x:c>
      <x:c r="C222" t="str">
        <x:v>Customer 08</x:v>
      </x:c>
      <x:c r="D222" t="str">
        <x:v>Mid-Market</x:v>
      </x:c>
      <x:c r="E222" t="str">
        <x:v>West</x:v>
      </x:c>
      <x:c r="F222" t="str">
        <x:v>Finance Cloud</x:v>
      </x:c>
      <x:c r="G222" t="n">
        <x:v>37</x:v>
      </x:c>
      <x:c r="H222" s="22" t="n">
        <x:v>696.456117895315</x:v>
      </x:c>
      <x:c r="I222" s="24" t="n">
        <x:v>0</x:v>
      </x:c>
      <x:c r="J222" s="22" t="n">
        <x:v>25768.87636212665</x:v>
      </x:c>
      <x:c r="K222" s="22" t="n">
        <x:v>8728.163710125698</x:v>
      </x:c>
      <x:c r="L222" s="22" t="n">
        <x:v>17040.712652000955</x:v>
      </x:c>
      <x:c r="M222" s="24" t="n">
        <x:v>0.6612904812972846</x:v>
      </x:c>
    </x:row>
    <x:row r="223">
      <x:c r="A223" t="n">
        <x:v>10220</x:v>
      </x:c>
      <x:c r="B223" s="20" t="n">
        <x:v>46204</x:v>
      </x:c>
      <x:c r="C223" t="str">
        <x:v>Customer 22</x:v>
      </x:c>
      <x:c r="D223" t="str">
        <x:v>SMB</x:v>
      </x:c>
      <x:c r="E223" t="str">
        <x:v>West</x:v>
      </x:c>
      <x:c r="F223" t="str">
        <x:v>Data Connect</x:v>
      </x:c>
      <x:c r="G223" t="n">
        <x:v>18</x:v>
      </x:c>
      <x:c r="H223" s="22" t="n">
        <x:v>254.96047616029318</x:v>
      </x:c>
      <x:c r="I223" s="24" t="n">
        <x:v>0.08</x:v>
      </x:c>
      <x:c r="J223" s="22" t="n">
        <x:v>4222.145485214455</x:v>
      </x:c>
      <x:c r="K223" s="22" t="n">
        <x:v>2071.055601872293</x:v>
      </x:c>
      <x:c r="L223" s="22" t="n">
        <x:v>2151.089883342162</x:v>
      </x:c>
      <x:c r="M223" s="24" t="n">
        <x:v>0.5094779161151767</x:v>
      </x:c>
    </x:row>
    <x:row r="224">
      <x:c r="A224" t="n">
        <x:v>10221</x:v>
      </x:c>
      <x:c r="B224" s="20" t="n">
        <x:v>46207</x:v>
      </x:c>
      <x:c r="C224" t="str">
        <x:v>Customer 29</x:v>
      </x:c>
      <x:c r="D224" t="str">
        <x:v>Enterprise</x:v>
      </x:c>
      <x:c r="E224" t="str">
        <x:v>Northeast</x:v>
      </x:c>
      <x:c r="F224" t="str">
        <x:v>Reporting Suite</x:v>
      </x:c>
      <x:c r="G224" t="n">
        <x:v>49</x:v>
      </x:c>
      <x:c r="H224" s="22" t="n">
        <x:v>346.46461599158437</x:v>
      </x:c>
      <x:c r="I224" s="24" t="n">
        <x:v>0.02</x:v>
      </x:c>
      <x:c r="J224" s="22" t="n">
        <x:v>16637.230859915882</x:v>
      </x:c>
      <x:c r="K224" s="22" t="n">
        <x:v>6633.952931710457</x:v>
      </x:c>
      <x:c r="L224" s="22" t="n">
        <x:v>10003.277928205425</x:v>
      </x:c>
      <x:c r="M224" s="24" t="n">
        <x:v>0.6012585875878146</x:v>
      </x:c>
    </x:row>
    <x:row r="225">
      <x:c r="A225" t="n">
        <x:v>10222</x:v>
      </x:c>
      <x:c r="B225" s="20" t="n">
        <x:v>46210</x:v>
      </x:c>
      <x:c r="C225" t="str">
        <x:v>Customer 06</x:v>
      </x:c>
      <x:c r="D225" t="str">
        <x:v>Mid-Market</x:v>
      </x:c>
      <x:c r="E225" t="str">
        <x:v>Midwest</x:v>
      </x:c>
      <x:c r="F225" t="str">
        <x:v>Finance Cloud</x:v>
      </x:c>
      <x:c r="G225" t="n">
        <x:v>28</x:v>
      </x:c>
      <x:c r="H225" s="22" t="n">
        <x:v>718.9961008096467</x:v>
      </x:c>
      <x:c r="I225" s="24" t="n">
        <x:v>0.03</x:v>
      </x:c>
      <x:c r="J225" s="22" t="n">
        <x:v>19527.93409799</x:v>
      </x:c>
      <x:c r="K225" s="22" t="n">
        <x:v>6091.310632241577</x:v>
      </x:c>
      <x:c r="L225" s="22" t="n">
        <x:v>13436.623465748424</x:v>
      </x:c>
      <x:c r="M225" s="24" t="n">
        <x:v>0.6880719382974284</x:v>
      </x:c>
    </x:row>
    <x:row r="226">
      <x:c r="A226" t="n">
        <x:v>10223</x:v>
      </x:c>
      <x:c r="B226" s="20" t="n">
        <x:v>46213</x:v>
      </x:c>
      <x:c r="C226" t="str">
        <x:v>Customer 13</x:v>
      </x:c>
      <x:c r="D226" t="str">
        <x:v>SMB</x:v>
      </x:c>
      <x:c r="E226" t="str">
        <x:v>South</x:v>
      </x:c>
      <x:c r="F226" t="str">
        <x:v>Analytics Pro</x:v>
      </x:c>
      <x:c r="G226" t="n">
        <x:v>11</x:v>
      </x:c>
      <x:c r="H226" s="22" t="n">
        <x:v>468.36999868588816</x:v>
      </x:c>
      <x:c r="I226" s="24" t="n">
        <x:v>0.08</x:v>
      </x:c>
      <x:c r="J226" s="22" t="n">
        <x:v>4739.904386701189</x:v>
      </x:c>
      <x:c r="K226" s="22" t="n">
        <x:v>1772.7264677941876</x:v>
      </x:c>
      <x:c r="L226" s="22" t="n">
        <x:v>2967.177918907001</x:v>
      </x:c>
      <x:c r="M226" s="24" t="n">
        <x:v>0.6259995301238672</x:v>
      </x:c>
    </x:row>
    <x:row r="227">
      <x:c r="A227" t="n">
        <x:v>10224</x:v>
      </x:c>
      <x:c r="B227" s="20" t="n">
        <x:v>46216</x:v>
      </x:c>
      <x:c r="C227" t="str">
        <x:v>Customer 20</x:v>
      </x:c>
      <x:c r="D227" t="str">
        <x:v>Enterprise</x:v>
      </x:c>
      <x:c r="E227" t="str">
        <x:v>West</x:v>
      </x:c>
      <x:c r="F227" t="str">
        <x:v>Data Connect</x:v>
      </x:c>
      <x:c r="G227" t="n">
        <x:v>34</x:v>
      </x:c>
      <x:c r="H227" s="22" t="n">
        <x:v>251.15023011961165</x:v>
      </x:c>
      <x:c r="I227" s="24" t="n">
        <x:v>0.05</x:v>
      </x:c>
      <x:c r="J227" s="22" t="n">
        <x:v>8112.152432863456</x:v>
      </x:c>
      <x:c r="K227" s="22" t="n">
        <x:v>3963.7530334731528</x:v>
      </x:c>
      <x:c r="L227" s="22" t="n">
        <x:v>4148.399399390303</x:v>
      </x:c>
      <x:c r="M227" s="24" t="n">
        <x:v>0.5113808491300732</x:v>
      </x:c>
    </x:row>
    <x:row r="228">
      <x:c r="A228" t="n">
        <x:v>10225</x:v>
      </x:c>
      <x:c r="B228" s="20" t="n">
        <x:v>46219</x:v>
      </x:c>
      <x:c r="C228" t="str">
        <x:v>Customer 27</x:v>
      </x:c>
      <x:c r="D228" t="str">
        <x:v>Mid-Market</x:v>
      </x:c>
      <x:c r="E228" t="str">
        <x:v>Northeast</x:v>
      </x:c>
      <x:c r="F228" t="str">
        <x:v>Reporting Suite</x:v>
      </x:c>
      <x:c r="G228" t="n">
        <x:v>30</x:v>
      </x:c>
      <x:c r="H228" s="22" t="n">
        <x:v>336.9207331148821</x:v>
      </x:c>
      <x:c r="I228" s="24" t="n">
        <x:v>0.03</x:v>
      </x:c>
      <x:c r="J228" s="22" t="n">
        <x:v>9804.393333643071</x:v>
      </x:c>
      <x:c r="K228" s="22" t="n">
        <x:v>4361.693170280748</x:v>
      </x:c>
      <x:c r="L228" s="22" t="n">
        <x:v>5442.700163362323</x:v>
      </x:c>
      <x:c r="M228" s="24" t="n">
        <x:v>0.5551287038521893</x:v>
      </x:c>
    </x:row>
    <x:row r="229">
      <x:c r="A229" t="n">
        <x:v>10226</x:v>
      </x:c>
      <x:c r="B229" s="20" t="n">
        <x:v>46222</x:v>
      </x:c>
      <x:c r="C229" t="str">
        <x:v>Customer 04</x:v>
      </x:c>
      <x:c r="D229" t="str">
        <x:v>SMB</x:v>
      </x:c>
      <x:c r="E229" t="str">
        <x:v>Midwest</x:v>
      </x:c>
      <x:c r="F229" t="str">
        <x:v>Finance Cloud</x:v>
      </x:c>
      <x:c r="G229" t="n">
        <x:v>16</x:v>
      </x:c>
      <x:c r="H229" s="22" t="n">
        <x:v>716.0951209679474</x:v>
      </x:c>
      <x:c r="I229" s="24" t="n">
        <x:v>0.05</x:v>
      </x:c>
      <x:c r="J229" s="22" t="n">
        <x:v>10884.6458387128</x:v>
      </x:c>
      <x:c r="K229" s="22" t="n">
        <x:v>3743.4135065368514</x:v>
      </x:c>
      <x:c r="L229" s="22" t="n">
        <x:v>7141.232332175949</x:v>
      </x:c>
      <x:c r="M229" s="24" t="n">
        <x:v>0.6560831135889726</x:v>
      </x:c>
    </x:row>
    <x:row r="230">
      <x:c r="A230" t="n">
        <x:v>10227</x:v>
      </x:c>
      <x:c r="B230" s="20" t="n">
        <x:v>46225</x:v>
      </x:c>
      <x:c r="C230" t="str">
        <x:v>Customer 11</x:v>
      </x:c>
      <x:c r="D230" t="str">
        <x:v>Enterprise</x:v>
      </x:c>
      <x:c r="E230" t="str">
        <x:v>South</x:v>
      </x:c>
      <x:c r="F230" t="str">
        <x:v>Analytics Pro</x:v>
      </x:c>
      <x:c r="G230" t="n">
        <x:v>45</x:v>
      </x:c>
      <x:c r="H230" s="22" t="n">
        <x:v>427.85615445612893</x:v>
      </x:c>
      <x:c r="I230" s="24" t="n">
        <x:v>0.02</x:v>
      </x:c>
      <x:c r="J230" s="22" t="n">
        <x:v>18868.456411515286</x:v>
      </x:c>
      <x:c r="K230" s="22" t="n">
        <x:v>7353.038560573181</x:v>
      </x:c>
      <x:c r="L230" s="22" t="n">
        <x:v>11515.417850942105</x:v>
      </x:c>
      <x:c r="M230" s="24" t="n">
        <x:v>0.6102999418603382</x:v>
      </x:c>
    </x:row>
    <x:row r="231">
      <x:c r="A231" t="n">
        <x:v>10228</x:v>
      </x:c>
      <x:c r="B231" s="20" t="n">
        <x:v>46228</x:v>
      </x:c>
      <x:c r="C231" t="str">
        <x:v>Customer 18</x:v>
      </x:c>
      <x:c r="D231" t="str">
        <x:v>Mid-Market</x:v>
      </x:c>
      <x:c r="E231" t="str">
        <x:v>West</x:v>
      </x:c>
      <x:c r="F231" t="str">
        <x:v>Data Connect</x:v>
      </x:c>
      <x:c r="G231" t="n">
        <x:v>15</x:v>
      </x:c>
      <x:c r="H231" s="22" t="n">
        <x:v>269.23191589614777</x:v>
      </x:c>
      <x:c r="I231" s="24" t="n">
        <x:v>0</x:v>
      </x:c>
      <x:c r="J231" s="22" t="n">
        <x:v>4038.4787384422166</x:v>
      </x:c>
      <x:c r="K231" s="22" t="n">
        <x:v>1862.6220483610648</x:v>
      </x:c>
      <x:c r="L231" s="22" t="n">
        <x:v>2175.856690081152</x:v>
      </x:c>
      <x:c r="M231" s="24" t="n">
        <x:v>0.538781266660935</x:v>
      </x:c>
    </x:row>
    <x:row r="232">
      <x:c r="A232" t="n">
        <x:v>10229</x:v>
      </x:c>
      <x:c r="B232" s="20" t="n">
        <x:v>46204</x:v>
      </x:c>
      <x:c r="C232" t="str">
        <x:v>Customer 25</x:v>
      </x:c>
      <x:c r="D232" t="str">
        <x:v>SMB</x:v>
      </x:c>
      <x:c r="E232" t="str">
        <x:v>Northeast</x:v>
      </x:c>
      <x:c r="F232" t="str">
        <x:v>Reporting Suite</x:v>
      </x:c>
      <x:c r="G232" t="n">
        <x:v>23</x:v>
      </x:c>
      <x:c r="H232" s="22" t="n">
        <x:v>328.9410569037964</x:v>
      </x:c>
      <x:c r="I232" s="24" t="n">
        <x:v>0.02</x:v>
      </x:c>
      <x:c r="J232" s="22" t="n">
        <x:v>7414.33142261157</x:v>
      </x:c>
      <x:c r="K232" s="22" t="n">
        <x:v>3125.573068095732</x:v>
      </x:c>
      <x:c r="L232" s="22" t="n">
        <x:v>4288.758354515838</x:v>
      </x:c>
      <x:c r="M232" s="24" t="n">
        <x:v>0.578441684092562</x:v>
      </x:c>
    </x:row>
    <x:row r="233">
      <x:c r="A233" t="n">
        <x:v>10230</x:v>
      </x:c>
      <x:c r="B233" s="20" t="n">
        <x:v>46207</x:v>
      </x:c>
      <x:c r="C233" t="str">
        <x:v>Customer 02</x:v>
      </x:c>
      <x:c r="D233" t="str">
        <x:v>Enterprise</x:v>
      </x:c>
      <x:c r="E233" t="str">
        <x:v>Midwest</x:v>
      </x:c>
      <x:c r="F233" t="str">
        <x:v>Finance Cloud</x:v>
      </x:c>
      <x:c r="G233" t="n">
        <x:v>47</x:v>
      </x:c>
      <x:c r="H233" s="22" t="n">
        <x:v>701.0023560475041</x:v>
      </x:c>
      <x:c r="I233" s="24" t="n">
        <x:v>0.02</x:v>
      </x:c>
      <x:c r="J233" s="22" t="n">
        <x:v>32288.16851954804</x:v>
      </x:c>
      <x:c r="K233" s="22" t="n">
        <x:v>9799.432748600595</x:v>
      </x:c>
      <x:c r="L233" s="22" t="n">
        <x:v>22488.735770947445</x:v>
      </x:c>
      <x:c r="M233" s="24" t="n">
        <x:v>0.6965008175465951</x:v>
      </x:c>
    </x:row>
    <x:row r="234">
      <x:c r="A234" t="n">
        <x:v>10231</x:v>
      </x:c>
      <x:c r="B234" s="20" t="n">
        <x:v>46210</x:v>
      </x:c>
      <x:c r="C234" t="str">
        <x:v>Customer 09</x:v>
      </x:c>
      <x:c r="D234" t="str">
        <x:v>Mid-Market</x:v>
      </x:c>
      <x:c r="E234" t="str">
        <x:v>South</x:v>
      </x:c>
      <x:c r="F234" t="str">
        <x:v>Analytics Pro</x:v>
      </x:c>
      <x:c r="G234" t="n">
        <x:v>42</x:v>
      </x:c>
      <x:c r="H234" s="22" t="n">
        <x:v>455.8557407544858</x:v>
      </x:c>
      <x:c r="I234" s="24" t="n">
        <x:v>0.02</x:v>
      </x:c>
      <x:c r="J234" s="22" t="n">
        <x:v>18763.022289454635</x:v>
      </x:c>
      <x:c r="K234" s="22" t="n">
        <x:v>7127.760000201971</x:v>
      </x:c>
      <x:c r="L234" s="22" t="n">
        <x:v>11635.262289252663</x:v>
      </x:c>
      <x:c r="M234" s="24" t="n">
        <x:v>0.6201166373816024</x:v>
      </x:c>
    </x:row>
    <x:row r="235">
      <x:c r="A235" t="n">
        <x:v>10232</x:v>
      </x:c>
      <x:c r="B235" s="20" t="n">
        <x:v>46213</x:v>
      </x:c>
      <x:c r="C235" t="str">
        <x:v>Customer 16</x:v>
      </x:c>
      <x:c r="D235" t="str">
        <x:v>SMB</x:v>
      </x:c>
      <x:c r="E235" t="str">
        <x:v>West</x:v>
      </x:c>
      <x:c r="F235" t="str">
        <x:v>Data Connect</x:v>
      </x:c>
      <x:c r="G235" t="n">
        <x:v>23</x:v>
      </x:c>
      <x:c r="H235" s="22" t="n">
        <x:v>259.3625701381737</x:v>
      </x:c>
      <x:c r="I235" s="24" t="n">
        <x:v>0.02</x:v>
      </x:c>
      <x:c r="J235" s="22" t="n">
        <x:v>5846.032330914434</x:v>
      </x:c>
      <x:c r="K235" s="22" t="n">
        <x:v>2736.279252400508</x:v>
      </x:c>
      <x:c r="L235" s="22" t="n">
        <x:v>3109.753078513926</x:v>
      </x:c>
      <x:c r="M235" s="24" t="n">
        <x:v>0.5319425043322502</x:v>
      </x:c>
    </x:row>
    <x:row r="236">
      <x:c r="A236" t="n">
        <x:v>10233</x:v>
      </x:c>
      <x:c r="B236" s="20" t="n">
        <x:v>46216</x:v>
      </x:c>
      <x:c r="C236" t="str">
        <x:v>Customer 23</x:v>
      </x:c>
      <x:c r="D236" t="str">
        <x:v>Enterprise</x:v>
      </x:c>
      <x:c r="E236" t="str">
        <x:v>Northeast</x:v>
      </x:c>
      <x:c r="F236" t="str">
        <x:v>Reporting Suite</x:v>
      </x:c>
      <x:c r="G236" t="n">
        <x:v>44</x:v>
      </x:c>
      <x:c r="H236" s="22" t="n">
        <x:v>312.17205536162976</x:v>
      </x:c>
      <x:c r="I236" s="24" t="n">
        <x:v>0.05</x:v>
      </x:c>
      <x:c r="J236" s="22" t="n">
        <x:v>13048.791914116124</x:v>
      </x:c>
      <x:c r="K236" s="22" t="n">
        <x:v>5742.257518054987</x:v>
      </x:c>
      <x:c r="L236" s="22" t="n">
        <x:v>7306.534396061137</x:v>
      </x:c>
      <x:c r="M236" s="24" t="n">
        <x:v>0.5599395288200558</x:v>
      </x:c>
    </x:row>
    <x:row r="237">
      <x:c r="A237" t="n">
        <x:v>10234</x:v>
      </x:c>
      <x:c r="B237" s="20" t="n">
        <x:v>46219</x:v>
      </x:c>
      <x:c r="C237" t="str">
        <x:v>Customer 30</x:v>
      </x:c>
      <x:c r="D237" t="str">
        <x:v>Mid-Market</x:v>
      </x:c>
      <x:c r="E237" t="str">
        <x:v>Midwest</x:v>
      </x:c>
      <x:c r="F237" t="str">
        <x:v>Finance Cloud</x:v>
      </x:c>
      <x:c r="G237" t="n">
        <x:v>34</x:v>
      </x:c>
      <x:c r="H237" s="22" t="n">
        <x:v>710.3234045204451</x:v>
      </x:c>
      <x:c r="I237" s="24" t="n">
        <x:v>0.02</x:v>
      </x:c>
      <x:c r="J237" s="22" t="n">
        <x:v>23667.97583862123</x:v>
      </x:c>
      <x:c r="K237" s="22" t="n">
        <x:v>7069.4609559577475</x:v>
      </x:c>
      <x:c r="L237" s="22" t="n">
        <x:v>16598.514882663483</x:v>
      </x:c>
      <x:c r="M237" s="24" t="n">
        <x:v>0.7013069049858563</x:v>
      </x:c>
    </x:row>
    <x:row r="238">
      <x:c r="A238" t="n">
        <x:v>10235</x:v>
      </x:c>
      <x:c r="B238" s="20" t="n">
        <x:v>46222</x:v>
      </x:c>
      <x:c r="C238" t="str">
        <x:v>Customer 07</x:v>
      </x:c>
      <x:c r="D238" t="str">
        <x:v>SMB</x:v>
      </x:c>
      <x:c r="E238" t="str">
        <x:v>South</x:v>
      </x:c>
      <x:c r="F238" t="str">
        <x:v>Analytics Pro</x:v>
      </x:c>
      <x:c r="G238" t="n">
        <x:v>38</x:v>
      </x:c>
      <x:c r="H238" s="22" t="n">
        <x:v>438.5687903467468</x:v>
      </x:c>
      <x:c r="I238" s="24" t="n">
        <x:v>0.05</x:v>
      </x:c>
      <x:c r="J238" s="22" t="n">
        <x:v>15832.333331517559</x:v>
      </x:c>
      <x:c r="K238" s="22" t="n">
        <x:v>6166.942014314707</x:v>
      </x:c>
      <x:c r="L238" s="22" t="n">
        <x:v>9665.391317202851</x:v>
      </x:c>
      <x:c r="M238" s="24" t="n">
        <x:v>0.6104843243769935</x:v>
      </x:c>
    </x:row>
    <x:row r="239">
      <x:c r="A239" t="n">
        <x:v>10236</x:v>
      </x:c>
      <x:c r="B239" s="20" t="n">
        <x:v>46225</x:v>
      </x:c>
      <x:c r="C239" t="str">
        <x:v>Customer 14</x:v>
      </x:c>
      <x:c r="D239" t="str">
        <x:v>Enterprise</x:v>
      </x:c>
      <x:c r="E239" t="str">
        <x:v>West</x:v>
      </x:c>
      <x:c r="F239" t="str">
        <x:v>Data Connect</x:v>
      </x:c>
      <x:c r="G239" t="n">
        <x:v>36</x:v>
      </x:c>
      <x:c r="H239" s="22" t="n">
        <x:v>255.4698524031705</x:v>
      </x:c>
      <x:c r="I239" s="24" t="n">
        <x:v>0.03</x:v>
      </x:c>
      <x:c r="J239" s="22" t="n">
        <x:v>8921.007245918712</x:v>
      </x:c>
      <x:c r="K239" s="22" t="n">
        <x:v>4058.7090390618573</x:v>
      </x:c>
      <x:c r="L239" s="22" t="n">
        <x:v>4862.298206856854</x:v>
      </x:c>
      <x:c r="M239" s="24" t="n">
        <x:v>0.5450391500445554</x:v>
      </x:c>
    </x:row>
    <x:row r="240">
      <x:c r="A240" t="n">
        <x:v>10237</x:v>
      </x:c>
      <x:c r="B240" s="20" t="n">
        <x:v>46228</x:v>
      </x:c>
      <x:c r="C240" t="str">
        <x:v>Customer 21</x:v>
      </x:c>
      <x:c r="D240" t="str">
        <x:v>Mid-Market</x:v>
      </x:c>
      <x:c r="E240" t="str">
        <x:v>Northeast</x:v>
      </x:c>
      <x:c r="F240" t="str">
        <x:v>Reporting Suite</x:v>
      </x:c>
      <x:c r="G240" t="n">
        <x:v>21</x:v>
      </x:c>
      <x:c r="H240" s="22" t="n">
        <x:v>321.2397357595252</x:v>
      </x:c>
      <x:c r="I240" s="24" t="n">
        <x:v>0.08</x:v>
      </x:c>
      <x:c r="J240" s="22" t="n">
        <x:v>6206.351694874027</x:v>
      </x:c>
      <x:c r="K240" s="22" t="n">
        <x:v>2562.9002582762455</x:v>
      </x:c>
      <x:c r="L240" s="22" t="n">
        <x:v>3643.4514365977816</x:v>
      </x:c>
      <x:c r="M240" s="24" t="n">
        <x:v>0.5870520421211377</x:v>
      </x:c>
    </x:row>
    <x:row r="241">
      <x:c r="A241" t="n">
        <x:v>10238</x:v>
      </x:c>
      <x:c r="B241" s="20" t="n">
        <x:v>46204</x:v>
      </x:c>
      <x:c r="C241" t="str">
        <x:v>Customer 28</x:v>
      </x:c>
      <x:c r="D241" t="str">
        <x:v>SMB</x:v>
      </x:c>
      <x:c r="E241" t="str">
        <x:v>Midwest</x:v>
      </x:c>
      <x:c r="F241" t="str">
        <x:v>Finance Cloud</x:v>
      </x:c>
      <x:c r="G241" t="n">
        <x:v>22</x:v>
      </x:c>
      <x:c r="H241" s="22" t="n">
        <x:v>678.4635096874094</x:v>
      </x:c>
      <x:c r="I241" s="24" t="n">
        <x:v>0.03</x:v>
      </x:c>
      <x:c r="J241" s="22" t="n">
        <x:v>14478.411296729317</x:v>
      </x:c>
      <x:c r="K241" s="22" t="n">
        <x:v>4287.013858609929</x:v>
      </x:c>
      <x:c r="L241" s="22" t="n">
        <x:v>10191.397438119388</x:v>
      </x:c>
      <x:c r="M241" s="24" t="n">
        <x:v>0.7039030201070218</x:v>
      </x:c>
    </x:row>
    <x:row r="242">
      <x:c r="A242" t="n">
        <x:v>10239</x:v>
      </x:c>
      <x:c r="B242" s="20" t="n">
        <x:v>46207</x:v>
      </x:c>
      <x:c r="C242" t="str">
        <x:v>Customer 05</x:v>
      </x:c>
      <x:c r="D242" t="str">
        <x:v>Enterprise</x:v>
      </x:c>
      <x:c r="E242" t="str">
        <x:v>South</x:v>
      </x:c>
      <x:c r="F242" t="str">
        <x:v>Analytics Pro</x:v>
      </x:c>
      <x:c r="G242" t="n">
        <x:v>48</x:v>
      </x:c>
      <x:c r="H242" s="22" t="n">
        <x:v>422.8727070975857</x:v>
      </x:c>
      <x:c r="I242" s="24" t="n">
        <x:v>0</x:v>
      </x:c>
      <x:c r="J242" s="22" t="n">
        <x:v>20297.889940684116</x:v>
      </x:c>
      <x:c r="K242" s="22" t="n">
        <x:v>8129.931064178033</x:v>
      </x:c>
      <x:c r="L242" s="22" t="n">
        <x:v>12167.958876506083</x:v>
      </x:c>
      <x:c r="M242" s="24" t="n">
        <x:v>0.5994691523140645</x:v>
      </x:c>
    </x:row>
    <x:row r="243">
      <x:c r="A243" t="n">
        <x:v>10240</x:v>
      </x:c>
      <x:c r="B243" s="20" t="n">
        <x:v>46210</x:v>
      </x:c>
      <x:c r="C243" t="str">
        <x:v>Customer 12</x:v>
      </x:c>
      <x:c r="D243" t="str">
        <x:v>Mid-Market</x:v>
      </x:c>
      <x:c r="E243" t="str">
        <x:v>West</x:v>
      </x:c>
      <x:c r="F243" t="str">
        <x:v>Data Connect</x:v>
      </x:c>
      <x:c r="G243" t="n">
        <x:v>20</x:v>
      </x:c>
      <x:c r="H243" s="22" t="n">
        <x:v>264.3552251017924</x:v>
      </x:c>
      <x:c r="I243" s="24" t="n">
        <x:v>0.03</x:v>
      </x:c>
      <x:c r="J243" s="22" t="n">
        <x:v>5128.491366974773</x:v>
      </x:c>
      <x:c r="K243" s="22" t="n">
        <x:v>2481.097704148998</x:v>
      </x:c>
      <x:c r="L243" s="22" t="n">
        <x:v>2647.3936628257748</x:v>
      </x:c>
      <x:c r="M243" s="24" t="n">
        <x:v>0.516212951019831</x:v>
      </x:c>
    </x:row>
    <x:row r="244">
      <x:c r="A244" t="n">
        <x:v>10241</x:v>
      </x:c>
      <x:c r="B244" s="20" t="n">
        <x:v>46213</x:v>
      </x:c>
      <x:c r="C244" t="str">
        <x:v>Customer 19</x:v>
      </x:c>
      <x:c r="D244" t="str">
        <x:v>SMB</x:v>
      </x:c>
      <x:c r="E244" t="str">
        <x:v>Northeast</x:v>
      </x:c>
      <x:c r="F244" t="str">
        <x:v>Reporting Suite</x:v>
      </x:c>
      <x:c r="G244" t="n">
        <x:v>17</x:v>
      </x:c>
      <x:c r="H244" s="22" t="n">
        <x:v>320.5152566674944</x:v>
      </x:c>
      <x:c r="I244" s="24" t="n">
        <x:v>0.02</x:v>
      </x:c>
      <x:c r="J244" s="22" t="n">
        <x:v>5339.784176080456</x:v>
      </x:c>
      <x:c r="K244" s="22" t="n">
        <x:v>2274.9859899493495</x:v>
      </x:c>
      <x:c r="L244" s="22" t="n">
        <x:v>3064.7981861311064</x:v>
      </x:c>
      <x:c r="M244" s="24" t="n">
        <x:v>0.5739554418434848</x:v>
      </x:c>
    </x:row>
    <x:row r="245">
      <x:c r="A245" t="n">
        <x:v>10242</x:v>
      </x:c>
      <x:c r="B245" s="20" t="n">
        <x:v>46216</x:v>
      </x:c>
      <x:c r="C245" t="str">
        <x:v>Customer 26</x:v>
      </x:c>
      <x:c r="D245" t="str">
        <x:v>Enterprise</x:v>
      </x:c>
      <x:c r="E245" t="str">
        <x:v>Midwest</x:v>
      </x:c>
      <x:c r="F245" t="str">
        <x:v>Finance Cloud</x:v>
      </x:c>
      <x:c r="G245" t="n">
        <x:v>59</x:v>
      </x:c>
      <x:c r="H245" s="22" t="n">
        <x:v>710.3362217167056</x:v>
      </x:c>
      <x:c r="I245" s="24" t="n">
        <x:v>0.02</x:v>
      </x:c>
      <x:c r="J245" s="22" t="n">
        <x:v>41071.64033965992</x:v>
      </x:c>
      <x:c r="K245" s="22" t="n">
        <x:v>13406.292908134761</x:v>
      </x:c>
      <x:c r="L245" s="22" t="n">
        <x:v>27665.34743152516</x:v>
      </x:c>
      <x:c r="M245" s="24" t="n">
        <x:v>0.673587594815655</x:v>
      </x:c>
    </x:row>
    <x:row r="246">
      <x:c r="A246" t="n">
        <x:v>10243</x:v>
      </x:c>
      <x:c r="B246" s="20" t="n">
        <x:v>46219</x:v>
      </x:c>
      <x:c r="C246" t="str">
        <x:v>Customer 03</x:v>
      </x:c>
      <x:c r="D246" t="str">
        <x:v>Mid-Market</x:v>
      </x:c>
      <x:c r="E246" t="str">
        <x:v>South</x:v>
      </x:c>
      <x:c r="F246" t="str">
        <x:v>Analytics Pro</x:v>
      </x:c>
      <x:c r="G246" t="n">
        <x:v>37</x:v>
      </x:c>
      <x:c r="H246" s="22" t="n">
        <x:v>439.0961325657978</x:v>
      </x:c>
      <x:c r="I246" s="24" t="n">
        <x:v>0.05</x:v>
      </x:c>
      <x:c r="J246" s="22" t="n">
        <x:v>15434.229059687792</x:v>
      </x:c>
      <x:c r="K246" s="22" t="n">
        <x:v>5504.899107074876</x:v>
      </x:c>
      <x:c r="L246" s="22" t="n">
        <x:v>9929.329952612916</x:v>
      </x:c>
      <x:c r="M246" s="24" t="n">
        <x:v>0.6433317734377184</x:v>
      </x:c>
    </x:row>
    <x:row r="247">
      <x:c r="A247" t="n">
        <x:v>10244</x:v>
      </x:c>
      <x:c r="B247" s="20" t="n">
        <x:v>46222</x:v>
      </x:c>
      <x:c r="C247" t="str">
        <x:v>Customer 10</x:v>
      </x:c>
      <x:c r="D247" t="str">
        <x:v>SMB</x:v>
      </x:c>
      <x:c r="E247" t="str">
        <x:v>West</x:v>
      </x:c>
      <x:c r="F247" t="str">
        <x:v>Data Connect</x:v>
      </x:c>
      <x:c r="G247" t="n">
        <x:v>9</x:v>
      </x:c>
      <x:c r="H247" s="22" t="n">
        <x:v>252.63556375700534</x:v>
      </x:c>
      <x:c r="I247" s="24" t="n">
        <x:v>0.02</x:v>
      </x:c>
      <x:c r="J247" s="22" t="n">
        <x:v>2228.2456723367873</x:v>
      </x:c>
      <x:c r="K247" s="22" t="n">
        <x:v>1001.6112894118512</x:v>
      </x:c>
      <x:c r="L247" s="22" t="n">
        <x:v>1226.634382924936</x:v>
      </x:c>
      <x:c r="M247" s="24" t="n">
        <x:v>0.5504933312126891</x:v>
      </x:c>
    </x:row>
    <x:row r="248">
      <x:c r="A248" t="n">
        <x:v>10245</x:v>
      </x:c>
      <x:c r="B248" s="20" t="n">
        <x:v>46225</x:v>
      </x:c>
      <x:c r="C248" t="str">
        <x:v>Customer 17</x:v>
      </x:c>
      <x:c r="D248" t="str">
        <x:v>Enterprise</x:v>
      </x:c>
      <x:c r="E248" t="str">
        <x:v>Northeast</x:v>
      </x:c>
      <x:c r="F248" t="str">
        <x:v>Reporting Suite</x:v>
      </x:c>
      <x:c r="G248" t="n">
        <x:v>41</x:v>
      </x:c>
      <x:c r="H248" s="22" t="n">
        <x:v>318.7891773639652</x:v>
      </x:c>
      <x:c r="I248" s="24" t="n">
        <x:v>0.02</x:v>
      </x:c>
      <x:c r="J248" s="22" t="n">
        <x:v>12808.949146484121</x:v>
      </x:c>
      <x:c r="K248" s="22" t="n">
        <x:v>5563.2550428386285</x:v>
      </x:c>
      <x:c r="L248" s="22" t="n">
        <x:v>7245.694103645493</x:v>
      </x:c>
      <x:c r="M248" s="24" t="n">
        <x:v>0.5656743594484748</x:v>
      </x:c>
    </x:row>
    <x:row r="249">
      <x:c r="A249" t="n">
        <x:v>10246</x:v>
      </x:c>
      <x:c r="B249" s="20" t="n">
        <x:v>46228</x:v>
      </x:c>
      <x:c r="C249" t="str">
        <x:v>Customer 24</x:v>
      </x:c>
      <x:c r="D249" t="str">
        <x:v>Mid-Market</x:v>
      </x:c>
      <x:c r="E249" t="str">
        <x:v>Midwest</x:v>
      </x:c>
      <x:c r="F249" t="str">
        <x:v>Finance Cloud</x:v>
      </x:c>
      <x:c r="G249" t="n">
        <x:v>40</x:v>
      </x:c>
      <x:c r="H249" s="22" t="n">
        <x:v>726.9194014011362</x:v>
      </x:c>
      <x:c r="I249" s="24" t="n">
        <x:v>0.03</x:v>
      </x:c>
      <x:c r="J249" s="22" t="n">
        <x:v>28204.472774364083</x:v>
      </x:c>
      <x:c r="K249" s="22" t="n">
        <x:v>9068.940034502742</x:v>
      </x:c>
      <x:c r="L249" s="22" t="n">
        <x:v>19135.53273986134</x:v>
      </x:c>
      <x:c r="M249" s="24" t="n">
        <x:v>0.6784573813148608</x:v>
      </x:c>
    </x:row>
    <x:row r="250">
      <x:c r="A250" t="n">
        <x:v>10247</x:v>
      </x:c>
      <x:c r="B250" s="20" t="n">
        <x:v>46204</x:v>
      </x:c>
      <x:c r="C250" t="str">
        <x:v>Customer 01</x:v>
      </x:c>
      <x:c r="D250" t="str">
        <x:v>SMB</x:v>
      </x:c>
      <x:c r="E250" t="str">
        <x:v>South</x:v>
      </x:c>
      <x:c r="F250" t="str">
        <x:v>Analytics Pro</x:v>
      </x:c>
      <x:c r="G250" t="n">
        <x:v>28</x:v>
      </x:c>
      <x:c r="H250" s="22" t="n">
        <x:v>436.29388272032764</x:v>
      </x:c>
      <x:c r="I250" s="24" t="n">
        <x:v>0.05</x:v>
      </x:c>
      <x:c r="J250" s="22" t="n">
        <x:v>11605.417280360716</x:v>
      </x:c>
      <x:c r="K250" s="22" t="n">
        <x:v>4681.26792824266</x:v>
      </x:c>
      <x:c r="L250" s="22" t="n">
        <x:v>6924.149352118056</x:v>
      </x:c>
      <x:c r="M250" s="24" t="n">
        <x:v>0.5966307961916594</x:v>
      </x:c>
    </x:row>
    <x:row r="251">
      <x:c r="A251" t="n">
        <x:v>10248</x:v>
      </x:c>
      <x:c r="B251" s="20" t="n">
        <x:v>46207</x:v>
      </x:c>
      <x:c r="C251" t="str">
        <x:v>Customer 08</x:v>
      </x:c>
      <x:c r="D251" t="str">
        <x:v>Enterprise</x:v>
      </x:c>
      <x:c r="E251" t="str">
        <x:v>West</x:v>
      </x:c>
      <x:c r="F251" t="str">
        <x:v>Data Connect</x:v>
      </x:c>
      <x:c r="G251" t="n">
        <x:v>37</x:v>
      </x:c>
      <x:c r="H251" s="22" t="n">
        <x:v>250.48707889769952</x:v>
      </x:c>
      <x:c r="I251" s="24" t="n">
        <x:v>0.03</x:v>
      </x:c>
      <x:c r="J251" s="22" t="n">
        <x:v>8989.981261638435</x:v>
      </x:c>
      <x:c r="K251" s="22" t="n">
        <x:v>4362.043434031826</x:v>
      </x:c>
      <x:c r="L251" s="22" t="n">
        <x:v>4627.937827606609</x:v>
      </x:c>
      <x:c r="M251" s="24" t="n">
        <x:v>0.5147883730697745</x:v>
      </x:c>
    </x:row>
    <x:row r="252">
      <x:c r="A252" t="n">
        <x:v>10249</x:v>
      </x:c>
      <x:c r="B252" s="20" t="n">
        <x:v>46210</x:v>
      </x:c>
      <x:c r="C252" t="str">
        <x:v>Customer 15</x:v>
      </x:c>
      <x:c r="D252" t="str">
        <x:v>Mid-Market</x:v>
      </x:c>
      <x:c r="E252" t="str">
        <x:v>Northeast</x:v>
      </x:c>
      <x:c r="F252" t="str">
        <x:v>Reporting Suite</x:v>
      </x:c>
      <x:c r="G252" t="n">
        <x:v>24</x:v>
      </x:c>
      <x:c r="H252" s="22" t="n">
        <x:v>341.81624602981344</x:v>
      </x:c>
      <x:c r="I252" s="24" t="n">
        <x:v>0.02</x:v>
      </x:c>
      <x:c r="J252" s="22" t="n">
        <x:v>8039.518106621211</x:v>
      </x:c>
      <x:c r="K252" s="22" t="n">
        <x:v>3521.365447265781</x:v>
      </x:c>
      <x:c r="L252" s="22" t="n">
        <x:v>4518.15265935543</x:v>
      </x:c>
      <x:c r="M252" s="24" t="n">
        <x:v>0.5619929701550589</x:v>
      </x:c>
    </x:row>
    <x:row r="253">
      <x:c r="A253" t="n">
        <x:v>10250</x:v>
      </x:c>
      <x:c r="B253" s="20" t="n">
        <x:v>46213</x:v>
      </x:c>
      <x:c r="C253" t="str">
        <x:v>Customer 22</x:v>
      </x:c>
      <x:c r="D253" t="str">
        <x:v>SMB</x:v>
      </x:c>
      <x:c r="E253" t="str">
        <x:v>Midwest</x:v>
      </x:c>
      <x:c r="F253" t="str">
        <x:v>Finance Cloud</x:v>
      </x:c>
      <x:c r="G253" t="n">
        <x:v>16</x:v>
      </x:c>
      <x:c r="H253" s="22" t="n">
        <x:v>714.2131267898227</x:v>
      </x:c>
      <x:c r="I253" s="24" t="n">
        <x:v>0.05</x:v>
      </x:c>
      <x:c r="J253" s="22" t="n">
        <x:v>10856.039527205305</x:v>
      </x:c>
      <x:c r="K253" s="22" t="n">
        <x:v>3727.5675910335167</x:v>
      </x:c>
      <x:c r="L253" s="22" t="n">
        <x:v>7128.471936171788</x:v>
      </x:c>
      <x:c r="M253" s="24" t="n">
        <x:v>0.6566365126349983</x:v>
      </x:c>
    </x:row>
    <x:row r="254">
      <x:c r="A254" t="n">
        <x:v>10251</x:v>
      </x:c>
      <x:c r="B254" s="20" t="n">
        <x:v>46216</x:v>
      </x:c>
      <x:c r="C254" t="str">
        <x:v>Customer 29</x:v>
      </x:c>
      <x:c r="D254" t="str">
        <x:v>Enterprise</x:v>
      </x:c>
      <x:c r="E254" t="str">
        <x:v>South</x:v>
      </x:c>
      <x:c r="F254" t="str">
        <x:v>Analytics Pro</x:v>
      </x:c>
      <x:c r="G254" t="n">
        <x:v>47</x:v>
      </x:c>
      <x:c r="H254" s="22" t="n">
        <x:v>465.0758972020642</x:v>
      </x:c>
      <x:c r="I254" s="24" t="n">
        <x:v>0</x:v>
      </x:c>
      <x:c r="J254" s="22" t="n">
        <x:v>21858.56716849702</x:v>
      </x:c>
      <x:c r="K254" s="22" t="n">
        <x:v>8048.825624726526</x:v>
      </x:c>
      <x:c r="L254" s="22" t="n">
        <x:v>13809.741543770491</x:v>
      </x:c>
      <x:c r="M254" s="24" t="n">
        <x:v>0.6317770710823788</x:v>
      </x:c>
    </x:row>
    <x:row r="255">
      <x:c r="A255" t="n">
        <x:v>10252</x:v>
      </x:c>
      <x:c r="B255" s="20" t="n">
        <x:v>46219</x:v>
      </x:c>
      <x:c r="C255" t="str">
        <x:v>Customer 06</x:v>
      </x:c>
      <x:c r="D255" t="str">
        <x:v>Mid-Market</x:v>
      </x:c>
      <x:c r="E255" t="str">
        <x:v>West</x:v>
      </x:c>
      <x:c r="F255" t="str">
        <x:v>Data Connect</x:v>
      </x:c>
      <x:c r="G255" t="n">
        <x:v>20</x:v>
      </x:c>
      <x:c r="H255" s="22" t="n">
        <x:v>245.2005105121038</x:v>
      </x:c>
      <x:c r="I255" s="24" t="n">
        <x:v>0.03</x:v>
      </x:c>
      <x:c r="J255" s="22" t="n">
        <x:v>4756.889903934813</x:v>
      </x:c>
      <x:c r="K255" s="22" t="n">
        <x:v>2276.8445340917947</x:v>
      </x:c>
      <x:c r="L255" s="22" t="n">
        <x:v>2480.0453698430188</x:v>
      </x:c>
      <x:c r="M255" s="24" t="n">
        <x:v>0.5213585809063124</x:v>
      </x:c>
    </x:row>
    <x:row r="256">
      <x:c r="A256" t="n">
        <x:v>10253</x:v>
      </x:c>
      <x:c r="B256" s="20" t="n">
        <x:v>46222</x:v>
      </x:c>
      <x:c r="C256" t="str">
        <x:v>Customer 13</x:v>
      </x:c>
      <x:c r="D256" t="str">
        <x:v>SMB</x:v>
      </x:c>
      <x:c r="E256" t="str">
        <x:v>Northeast</x:v>
      </x:c>
      <x:c r="F256" t="str">
        <x:v>Reporting Suite</x:v>
      </x:c>
      <x:c r="G256" t="n">
        <x:v>11</x:v>
      </x:c>
      <x:c r="H256" s="22" t="n">
        <x:v>344.53349825803053</x:v>
      </x:c>
      <x:c r="I256" s="24" t="n">
        <x:v>0.03</x:v>
      </x:c>
      <x:c r="J256" s="22" t="n">
        <x:v>3676.172426413186</x:v>
      </x:c>
      <x:c r="K256" s="22" t="n">
        <x:v>1472.0030561039162</x:v>
      </x:c>
      <x:c r="L256" s="22" t="n">
        <x:v>2204.1693703092697</x:v>
      </x:c>
      <x:c r="M256" s="24" t="n">
        <x:v>0.5995826948900385</x:v>
      </x:c>
    </x:row>
    <x:row r="257">
      <x:c r="A257" t="n">
        <x:v>10254</x:v>
      </x:c>
      <x:c r="B257" s="20" t="n">
        <x:v>46225</x:v>
      </x:c>
      <x:c r="C257" t="str">
        <x:v>Customer 20</x:v>
      </x:c>
      <x:c r="D257" t="str">
        <x:v>Enterprise</x:v>
      </x:c>
      <x:c r="E257" t="str">
        <x:v>Midwest</x:v>
      </x:c>
      <x:c r="F257" t="str">
        <x:v>Finance Cloud</x:v>
      </x:c>
      <x:c r="G257" t="n">
        <x:v>35</x:v>
      </x:c>
      <x:c r="H257" s="22" t="n">
        <x:v>673.2847759585787</x:v>
      </x:c>
      <x:c r="I257" s="24" t="n">
        <x:v>0</x:v>
      </x:c>
      <x:c r="J257" s="22" t="n">
        <x:v>23564.967158550255</x:v>
      </x:c>
      <x:c r="K257" s="22" t="n">
        <x:v>7681.645390526678</x:v>
      </x:c>
      <x:c r="L257" s="22" t="n">
        <x:v>15883.321768023576</x:v>
      </x:c>
      <x:c r="M257" s="24" t="n">
        <x:v>0.6740226566477735</x:v>
      </x:c>
    </x:row>
    <x:row r="258">
      <x:c r="A258" t="n">
        <x:v>10255</x:v>
      </x:c>
      <x:c r="B258" s="20" t="n">
        <x:v>46228</x:v>
      </x:c>
      <x:c r="C258" t="str">
        <x:v>Customer 27</x:v>
      </x:c>
      <x:c r="D258" t="str">
        <x:v>Mid-Market</x:v>
      </x:c>
      <x:c r="E258" t="str">
        <x:v>South</x:v>
      </x:c>
      <x:c r="F258" t="str">
        <x:v>Analytics Pro</x:v>
      </x:c>
      <x:c r="G258" t="n">
        <x:v>34</x:v>
      </x:c>
      <x:c r="H258" s="22" t="n">
        <x:v>455.33651265825256</x:v>
      </x:c>
      <x:c r="I258" s="24" t="n">
        <x:v>0</x:v>
      </x:c>
      <x:c r="J258" s="22" t="n">
        <x:v>15481.441430380586</x:v>
      </x:c>
      <x:c r="K258" s="22" t="n">
        <x:v>5987.760138231516</x:v>
      </x:c>
      <x:c r="L258" s="22" t="n">
        <x:v>9493.681292149071</x:v>
      </x:c>
      <x:c r="M258" s="24" t="n">
        <x:v>0.613229803881103</x:v>
      </x:c>
    </x:row>
    <x:row r="259">
      <x:c r="A259" t="n">
        <x:v>10256</x:v>
      </x:c>
      <x:c r="B259" s="20" t="n">
        <x:v>46204</x:v>
      </x:c>
      <x:c r="C259" t="str">
        <x:v>Customer 04</x:v>
      </x:c>
      <x:c r="D259" t="str">
        <x:v>SMB</x:v>
      </x:c>
      <x:c r="E259" t="str">
        <x:v>West</x:v>
      </x:c>
      <x:c r="F259" t="str">
        <x:v>Data Connect</x:v>
      </x:c>
      <x:c r="G259" t="n">
        <x:v>13</x:v>
      </x:c>
      <x:c r="H259" s="22" t="n">
        <x:v>255.6988683993197</x:v>
      </x:c>
      <x:c r="I259" s="24" t="n">
        <x:v>0.03</x:v>
      </x:c>
      <x:c r="J259" s="22" t="n">
        <x:v>3224.3627305154214</x:v>
      </x:c>
      <x:c r="K259" s="22" t="n">
        <x:v>1539.5105887683876</x:v>
      </x:c>
      <x:c r="L259" s="22" t="n">
        <x:v>1684.8521417470338</x:v>
      </x:c>
      <x:c r="M259" s="24" t="n">
        <x:v>0.5225380276857705</x:v>
      </x:c>
    </x:row>
    <x:row r="260">
      <x:c r="A260" t="n">
        <x:v>10257</x:v>
      </x:c>
      <x:c r="B260" s="20" t="n">
        <x:v>46207</x:v>
      </x:c>
      <x:c r="C260" t="str">
        <x:v>Customer 11</x:v>
      </x:c>
      <x:c r="D260" t="str">
        <x:v>Enterprise</x:v>
      </x:c>
      <x:c r="E260" t="str">
        <x:v>Northeast</x:v>
      </x:c>
      <x:c r="F260" t="str">
        <x:v>Reporting Suite</x:v>
      </x:c>
      <x:c r="G260" t="n">
        <x:v>46</x:v>
      </x:c>
      <x:c r="H260" s="22" t="n">
        <x:v>313.2791915518562</x:v>
      </x:c>
      <x:c r="I260" s="24" t="n">
        <x:v>0.05</x:v>
      </x:c>
      <x:c r="J260" s="22" t="n">
        <x:v>13690.300670816114</x:v>
      </x:c>
      <x:c r="K260" s="22" t="n">
        <x:v>5487.154979730688</x:v>
      </x:c>
      <x:c r="L260" s="22" t="n">
        <x:v>8203.145691085425</x:v>
      </x:c>
      <x:c r="M260" s="24" t="n">
        <x:v>0.5991939759637445</x:v>
      </x:c>
    </x:row>
    <x:row r="261">
      <x:c r="A261" t="n">
        <x:v>10258</x:v>
      </x:c>
      <x:c r="B261" s="20" t="n">
        <x:v>46210</x:v>
      </x:c>
      <x:c r="C261" t="str">
        <x:v>Customer 18</x:v>
      </x:c>
      <x:c r="D261" t="str">
        <x:v>Mid-Market</x:v>
      </x:c>
      <x:c r="E261" t="str">
        <x:v>Midwest</x:v>
      </x:c>
      <x:c r="F261" t="str">
        <x:v>Finance Cloud</x:v>
      </x:c>
      <x:c r="G261" t="n">
        <x:v>29</x:v>
      </x:c>
      <x:c r="H261" s="22" t="n">
        <x:v>673.3664107067187</x:v>
      </x:c>
      <x:c r="I261" s="24" t="n">
        <x:v>0.08</x:v>
      </x:c>
      <x:c r="J261" s="22" t="n">
        <x:v>17965.41583765526</x:v>
      </x:c>
      <x:c r="K261" s="22" t="n">
        <x:v>5421.660724569763</x:v>
      </x:c>
      <x:c r="L261" s="22" t="n">
        <x:v>12543.755113085495</x:v>
      </x:c>
      <x:c r="M261" s="24" t="n">
        <x:v>0.6982167975646832</x:v>
      </x:c>
    </x:row>
    <x:row r="262">
      <x:c r="A262" t="n">
        <x:v>10259</x:v>
      </x:c>
      <x:c r="B262" s="20" t="n">
        <x:v>46213</x:v>
      </x:c>
      <x:c r="C262" t="str">
        <x:v>Customer 25</x:v>
      </x:c>
      <x:c r="D262" t="str">
        <x:v>SMB</x:v>
      </x:c>
      <x:c r="E262" t="str">
        <x:v>South</x:v>
      </x:c>
      <x:c r="F262" t="str">
        <x:v>Analytics Pro</x:v>
      </x:c>
      <x:c r="G262" t="n">
        <x:v>4</x:v>
      </x:c>
      <x:c r="H262" s="22" t="n">
        <x:v>462.51206047350166</x:v>
      </x:c>
      <x:c r="I262" s="24" t="n">
        <x:v>0.08</x:v>
      </x:c>
      <x:c r="J262" s="22" t="n">
        <x:v>1702.0443825424861</x:v>
      </x:c>
      <x:c r="K262" s="22" t="n">
        <x:v>639.8943726137226</x:v>
      </x:c>
      <x:c r="L262" s="22" t="n">
        <x:v>1062.1500099287637</x:v>
      </x:c>
      <x:c r="M262" s="24" t="n">
        <x:v>0.6240436623292639</x:v>
      </x:c>
    </x:row>
    <x:row r="263">
      <x:c r="A263" t="n">
        <x:v>10260</x:v>
      </x:c>
      <x:c r="B263" s="20" t="n">
        <x:v>46216</x:v>
      </x:c>
      <x:c r="C263" t="str">
        <x:v>Customer 02</x:v>
      </x:c>
      <x:c r="D263" t="str">
        <x:v>Enterprise</x:v>
      </x:c>
      <x:c r="E263" t="str">
        <x:v>West</x:v>
      </x:c>
      <x:c r="F263" t="str">
        <x:v>Data Connect</x:v>
      </x:c>
      <x:c r="G263" t="n">
        <x:v>48</x:v>
      </x:c>
      <x:c r="H263" s="22" t="n">
        <x:v>264.265761959008</x:v>
      </x:c>
      <x:c r="I263" s="24" t="n">
        <x:v>0.02</x:v>
      </x:c>
      <x:c r="J263" s="22" t="n">
        <x:v>12431.061442551736</x:v>
      </x:c>
      <x:c r="K263" s="22" t="n">
        <x:v>6082.153999422418</x:v>
      </x:c>
      <x:c r="L263" s="22" t="n">
        <x:v>6348.907443129318</x:v>
      </x:c>
      <x:c r="M263" s="24" t="n">
        <x:v>0.510729310805021</x:v>
      </x:c>
    </x:row>
    <x:row r="264">
      <x:c r="A264" t="n">
        <x:v>10261</x:v>
      </x:c>
      <x:c r="B264" s="20" t="n">
        <x:v>46235</x:v>
      </x:c>
      <x:c r="C264" t="str">
        <x:v>Customer 25</x:v>
      </x:c>
      <x:c r="D264" t="str">
        <x:v>Mid-Market</x:v>
      </x:c>
      <x:c r="E264" t="str">
        <x:v>Northeast</x:v>
      </x:c>
      <x:c r="F264" t="str">
        <x:v>Analytics Pro</x:v>
      </x:c>
      <x:c r="G264" t="n">
        <x:v>19</x:v>
      </x:c>
      <x:c r="H264" s="22" t="n">
        <x:v>459.89518131523255</x:v>
      </x:c>
      <x:c r="I264" s="24" t="n">
        <x:v>0.03</x:v>
      </x:c>
      <x:c r="J264" s="22" t="n">
        <x:v>8475.868191639736</x:v>
      </x:c>
      <x:c r="K264" s="22" t="n">
        <x:v>3022.798154787269</x:v>
      </x:c>
      <x:c r="L264" s="22" t="n">
        <x:v>5453.070036852467</x:v>
      </x:c>
      <x:c r="M264" s="24" t="n">
        <x:v>0.6433641856572476</x:v>
      </x:c>
    </x:row>
    <x:row r="265">
      <x:c r="A265" t="n">
        <x:v>10262</x:v>
      </x:c>
      <x:c r="B265" s="20" t="n">
        <x:v>46238</x:v>
      </x:c>
      <x:c r="C265" t="str">
        <x:v>Customer 02</x:v>
      </x:c>
      <x:c r="D265" t="str">
        <x:v>SMB</x:v>
      </x:c>
      <x:c r="E265" t="str">
        <x:v>Midwest</x:v>
      </x:c>
      <x:c r="F265" t="str">
        <x:v>Data Connect</x:v>
      </x:c>
      <x:c r="G265" t="n">
        <x:v>4</x:v>
      </x:c>
      <x:c r="H265" s="22" t="n">
        <x:v>255.1729638364759</x:v>
      </x:c>
      <x:c r="I265" s="24" t="n">
        <x:v>0.05</x:v>
      </x:c>
      <x:c r="J265" s="22" t="n">
        <x:v>969.6572625786084</x:v>
      </x:c>
      <x:c r="K265" s="22" t="n">
        <x:v>453.05761035115205</x:v>
      </x:c>
      <x:c r="L265" s="22" t="n">
        <x:v>516.5996522274563</x:v>
      </x:c>
      <x:c r="M265" s="24" t="n">
        <x:v>0.5327652070110458</x:v>
      </x:c>
    </x:row>
    <x:row r="266">
      <x:c r="A266" t="n">
        <x:v>10263</x:v>
      </x:c>
      <x:c r="B266" s="20" t="n">
        <x:v>46241</x:v>
      </x:c>
      <x:c r="C266" t="str">
        <x:v>Customer 09</x:v>
      </x:c>
      <x:c r="D266" t="str">
        <x:v>Enterprise</x:v>
      </x:c>
      <x:c r="E266" t="str">
        <x:v>South</x:v>
      </x:c>
      <x:c r="F266" t="str">
        <x:v>Reporting Suite</x:v>
      </x:c>
      <x:c r="G266" t="n">
        <x:v>45</x:v>
      </x:c>
      <x:c r="H266" s="22" t="n">
        <x:v>354.1217520113877</x:v>
      </x:c>
      <x:c r="I266" s="24" t="n">
        <x:v>0.03</x:v>
      </x:c>
      <x:c r="J266" s="22" t="n">
        <x:v>15457.414475297071</x:v>
      </x:c>
      <x:c r="K266" s="22" t="n">
        <x:v>6526.4804421713025</x:v>
      </x:c>
      <x:c r="L266" s="22" t="n">
        <x:v>8930.93403312577</x:v>
      </x:c>
      <x:c r="M266" s="24" t="n">
        <x:v>0.5777767069258929</x:v>
      </x:c>
    </x:row>
    <x:row r="267">
      <x:c r="A267" t="n">
        <x:v>10264</x:v>
      </x:c>
      <x:c r="B267" s="20" t="n">
        <x:v>46244</x:v>
      </x:c>
      <x:c r="C267" t="str">
        <x:v>Customer 16</x:v>
      </x:c>
      <x:c r="D267" t="str">
        <x:v>Mid-Market</x:v>
      </x:c>
      <x:c r="E267" t="str">
        <x:v>West</x:v>
      </x:c>
      <x:c r="F267" t="str">
        <x:v>Finance Cloud</x:v>
      </x:c>
      <x:c r="G267" t="n">
        <x:v>35</x:v>
      </x:c>
      <x:c r="H267" s="22" t="n">
        <x:v>742.2534546810405</x:v>
      </x:c>
      <x:c r="I267" s="24" t="n">
        <x:v>0.03</x:v>
      </x:c>
      <x:c r="J267" s="22" t="n">
        <x:v>25199.504786421323</x:v>
      </x:c>
      <x:c r="K267" s="22" t="n">
        <x:v>7510.145525082899</x:v>
      </x:c>
      <x:c r="L267" s="22" t="n">
        <x:v>17689.359261338424</x:v>
      </x:c>
      <x:c r="M267" s="24" t="n">
        <x:v>0.7019724955416696</x:v>
      </x:c>
    </x:row>
    <x:row r="268">
      <x:c r="A268" t="n">
        <x:v>10265</x:v>
      </x:c>
      <x:c r="B268" s="20" t="n">
        <x:v>46247</x:v>
      </x:c>
      <x:c r="C268" t="str">
        <x:v>Customer 23</x:v>
      </x:c>
      <x:c r="D268" t="str">
        <x:v>SMB</x:v>
      </x:c>
      <x:c r="E268" t="str">
        <x:v>Northeast</x:v>
      </x:c>
      <x:c r="F268" t="str">
        <x:v>Analytics Pro</x:v>
      </x:c>
      <x:c r="G268" t="n">
        <x:v>12</x:v>
      </x:c>
      <x:c r="H268" s="22" t="n">
        <x:v>478.04055522668466</x:v>
      </x:c>
      <x:c r="I268" s="24" t="n">
        <x:v>0.05</x:v>
      </x:c>
      <x:c r="J268" s="22" t="n">
        <x:v>5449.662329584205</x:v>
      </x:c>
      <x:c r="K268" s="22" t="n">
        <x:v>1959.60958722251</x:v>
      </x:c>
      <x:c r="L268" s="22" t="n">
        <x:v>3490.0527423616945</x:v>
      </x:c>
      <x:c r="M268" s="24" t="n">
        <x:v>0.640416328809124</x:v>
      </x:c>
    </x:row>
    <x:row r="269">
      <x:c r="A269" t="n">
        <x:v>10266</x:v>
      </x:c>
      <x:c r="B269" s="20" t="n">
        <x:v>46250</x:v>
      </x:c>
      <x:c r="C269" t="str">
        <x:v>Customer 30</x:v>
      </x:c>
      <x:c r="D269" t="str">
        <x:v>Enterprise</x:v>
      </x:c>
      <x:c r="E269" t="str">
        <x:v>Midwest</x:v>
      </x:c>
      <x:c r="F269" t="str">
        <x:v>Data Connect</x:v>
      </x:c>
      <x:c r="G269" t="n">
        <x:v>65</x:v>
      </x:c>
      <x:c r="H269" s="22" t="n">
        <x:v>250.24533928292678</x:v>
      </x:c>
      <x:c r="I269" s="24" t="n">
        <x:v>0.08</x:v>
      </x:c>
      <x:c r="J269" s="22" t="n">
        <x:v>14964.671289119022</x:v>
      </x:c>
      <x:c r="K269" s="22" t="n">
        <x:v>7385.883333963684</x:v>
      </x:c>
      <x:c r="L269" s="22" t="n">
        <x:v>7578.787955155338</x:v>
      </x:c>
      <x:c r="M269" s="24" t="n">
        <x:v>0.5064453343967508</x:v>
      </x:c>
    </x:row>
    <x:row r="270">
      <x:c r="A270" t="n">
        <x:v>10267</x:v>
      </x:c>
      <x:c r="B270" s="20" t="n">
        <x:v>46253</x:v>
      </x:c>
      <x:c r="C270" t="str">
        <x:v>Customer 07</x:v>
      </x:c>
      <x:c r="D270" t="str">
        <x:v>Mid-Market</x:v>
      </x:c>
      <x:c r="E270" t="str">
        <x:v>South</x:v>
      </x:c>
      <x:c r="F270" t="str">
        <x:v>Reporting Suite</x:v>
      </x:c>
      <x:c r="G270" t="n">
        <x:v>34</x:v>
      </x:c>
      <x:c r="H270" s="22" t="n">
        <x:v>354.4388686367506</x:v>
      </x:c>
      <x:c r="I270" s="24" t="n">
        <x:v>0.08</x:v>
      </x:c>
      <x:c r="J270" s="22" t="n">
        <x:v>11086.84781095756</x:v>
      </x:c>
      <x:c r="K270" s="22" t="n">
        <x:v>4493.05903440669</x:v>
      </x:c>
      <x:c r="L270" s="22" t="n">
        <x:v>6593.78877655087</x:v>
      </x:c>
      <x:c r="M270" s="24" t="n">
        <x:v>0.5947397212428562</x:v>
      </x:c>
    </x:row>
    <x:row r="271">
      <x:c r="A271" t="n">
        <x:v>10268</x:v>
      </x:c>
      <x:c r="B271" s="20" t="n">
        <x:v>46256</x:v>
      </x:c>
      <x:c r="C271" t="str">
        <x:v>Customer 14</x:v>
      </x:c>
      <x:c r="D271" t="str">
        <x:v>SMB</x:v>
      </x:c>
      <x:c r="E271" t="str">
        <x:v>West</x:v>
      </x:c>
      <x:c r="F271" t="str">
        <x:v>Finance Cloud</x:v>
      </x:c>
      <x:c r="G271" t="n">
        <x:v>18</x:v>
      </x:c>
      <x:c r="H271" s="22" t="n">
        <x:v>729.7838546071712</x:v>
      </x:c>
      <x:c r="I271" s="24" t="n">
        <x:v>0.08</x:v>
      </x:c>
      <x:c r="J271" s="22" t="n">
        <x:v>12085.220632294755</x:v>
      </x:c>
      <x:c r="K271" s="22" t="n">
        <x:v>3690.317212839221</x:v>
      </x:c>
      <x:c r="L271" s="22" t="n">
        <x:v>8394.903419455533</x:v>
      </x:c>
      <x:c r="M271" s="24" t="n">
        <x:v>0.694642131482667</x:v>
      </x:c>
    </x:row>
    <x:row r="272">
      <x:c r="A272" t="n">
        <x:v>10269</x:v>
      </x:c>
      <x:c r="B272" s="20" t="n">
        <x:v>46259</x:v>
      </x:c>
      <x:c r="C272" t="str">
        <x:v>Customer 21</x:v>
      </x:c>
      <x:c r="D272" t="str">
        <x:v>Enterprise</x:v>
      </x:c>
      <x:c r="E272" t="str">
        <x:v>Northeast</x:v>
      </x:c>
      <x:c r="F272" t="str">
        <x:v>Analytics Pro</x:v>
      </x:c>
      <x:c r="G272" t="n">
        <x:v>48</x:v>
      </x:c>
      <x:c r="H272" s="22" t="n">
        <x:v>444.2681536124232</x:v>
      </x:c>
      <x:c r="I272" s="24" t="n">
        <x:v>0.02</x:v>
      </x:c>
      <x:c r="J272" s="22" t="n">
        <x:v>20898.373945928386</x:v>
      </x:c>
      <x:c r="K272" s="22" t="n">
        <x:v>8242.991355155295</x:v>
      </x:c>
      <x:c r="L272" s="22" t="n">
        <x:v>12655.382590773092</x:v>
      </x:c>
      <x:c r="M272" s="24" t="n">
        <x:v>0.6055678122861196</x:v>
      </x:c>
    </x:row>
    <x:row r="273">
      <x:c r="A273" t="n">
        <x:v>10270</x:v>
      </x:c>
      <x:c r="B273" s="20" t="n">
        <x:v>46235</x:v>
      </x:c>
      <x:c r="C273" t="str">
        <x:v>Customer 28</x:v>
      </x:c>
      <x:c r="D273" t="str">
        <x:v>Mid-Market</x:v>
      </x:c>
      <x:c r="E273" t="str">
        <x:v>Midwest</x:v>
      </x:c>
      <x:c r="F273" t="str">
        <x:v>Data Connect</x:v>
      </x:c>
      <x:c r="G273" t="n">
        <x:v>43</x:v>
      </x:c>
      <x:c r="H273" s="22" t="n">
        <x:v>262.18541278046524</x:v>
      </x:c>
      <x:c r="I273" s="24" t="n">
        <x:v>0.03</x:v>
      </x:c>
      <x:c r="J273" s="22" t="n">
        <x:v>10935.753567073205</x:v>
      </x:c>
      <x:c r="K273" s="22" t="n">
        <x:v>5335.776230275551</x:v>
      </x:c>
      <x:c r="L273" s="22" t="n">
        <x:v>5599.977336797654</x:v>
      </x:c>
      <x:c r="M273" s="24" t="n">
        <x:v>0.5120796936809913</x:v>
      </x:c>
    </x:row>
    <x:row r="274">
      <x:c r="A274" t="n">
        <x:v>10271</x:v>
      </x:c>
      <x:c r="B274" s="20" t="n">
        <x:v>46238</x:v>
      </x:c>
      <x:c r="C274" t="str">
        <x:v>Customer 05</x:v>
      </x:c>
      <x:c r="D274" t="str">
        <x:v>SMB</x:v>
      </x:c>
      <x:c r="E274" t="str">
        <x:v>South</x:v>
      </x:c>
      <x:c r="F274" t="str">
        <x:v>Reporting Suite</x:v>
      </x:c>
      <x:c r="G274" t="n">
        <x:v>18</x:v>
      </x:c>
      <x:c r="H274" s="22" t="n">
        <x:v>324.78228300774913</x:v>
      </x:c>
      <x:c r="I274" s="24" t="n">
        <x:v>0.02</x:v>
      </x:c>
      <x:c r="J274" s="22" t="n">
        <x:v>5729.159472256695</x:v>
      </x:c>
      <x:c r="K274" s="22" t="n">
        <x:v>2294.507270404462</x:v>
      </x:c>
      <x:c r="L274" s="22" t="n">
        <x:v>3434.6522018522332</x:v>
      </x:c>
      <x:c r="M274" s="24" t="n">
        <x:v>0.5995036826055282</x:v>
      </x:c>
    </x:row>
    <x:row r="275">
      <x:c r="A275" t="n">
        <x:v>10272</x:v>
      </x:c>
      <x:c r="B275" s="20" t="n">
        <x:v>46241</x:v>
      </x:c>
      <x:c r="C275" t="str">
        <x:v>Customer 12</x:v>
      </x:c>
      <x:c r="D275" t="str">
        <x:v>Enterprise</x:v>
      </x:c>
      <x:c r="E275" t="str">
        <x:v>West</x:v>
      </x:c>
      <x:c r="F275" t="str">
        <x:v>Finance Cloud</x:v>
      </x:c>
      <x:c r="G275" t="n">
        <x:v>48</x:v>
      </x:c>
      <x:c r="H275" s="22" t="n">
        <x:v>732.869570127813</x:v>
      </x:c>
      <x:c r="I275" s="24" t="n">
        <x:v>0.02</x:v>
      </x:c>
      <x:c r="J275" s="22" t="n">
        <x:v>34474.18457881232</x:v>
      </x:c>
      <x:c r="K275" s="22" t="n">
        <x:v>10195.499333942284</x:v>
      </x:c>
      <x:c r="L275" s="22" t="n">
        <x:v>24278.685244870034</x:v>
      </x:c>
      <x:c r="M275" s="24" t="n">
        <x:v>0.7042569836384646</x:v>
      </x:c>
    </x:row>
    <x:row r="276">
      <x:c r="A276" t="n">
        <x:v>10273</x:v>
      </x:c>
      <x:c r="B276" s="20" t="n">
        <x:v>46244</x:v>
      </x:c>
      <x:c r="C276" t="str">
        <x:v>Customer 19</x:v>
      </x:c>
      <x:c r="D276" t="str">
        <x:v>Mid-Market</x:v>
      </x:c>
      <x:c r="E276" t="str">
        <x:v>Northeast</x:v>
      </x:c>
      <x:c r="F276" t="str">
        <x:v>Analytics Pro</x:v>
      </x:c>
      <x:c r="G276" t="n">
        <x:v>29</x:v>
      </x:c>
      <x:c r="H276" s="22" t="n">
        <x:v>444.00752821751684</x:v>
      </x:c>
      <x:c r="I276" s="24" t="n">
        <x:v>0.02</x:v>
      </x:c>
      <x:c r="J276" s="22" t="n">
        <x:v>12618.693951941828</x:v>
      </x:c>
      <x:c r="K276" s="22" t="n">
        <x:v>4647.06592155646</x:v>
      </x:c>
      <x:c r="L276" s="22" t="n">
        <x:v>7971.628030385368</x:v>
      </x:c>
      <x:c r="M276" s="24" t="n">
        <x:v>0.6317316245837513</x:v>
      </x:c>
    </x:row>
    <x:row r="277">
      <x:c r="A277" t="n">
        <x:v>10274</x:v>
      </x:c>
      <x:c r="B277" s="20" t="n">
        <x:v>46247</x:v>
      </x:c>
      <x:c r="C277" t="str">
        <x:v>Customer 26</x:v>
      </x:c>
      <x:c r="D277" t="str">
        <x:v>SMB</x:v>
      </x:c>
      <x:c r="E277" t="str">
        <x:v>Midwest</x:v>
      </x:c>
      <x:c r="F277" t="str">
        <x:v>Data Connect</x:v>
      </x:c>
      <x:c r="G277" t="n">
        <x:v>10</x:v>
      </x:c>
      <x:c r="H277" s="22" t="n">
        <x:v>247.59069774364235</x:v>
      </x:c>
      <x:c r="I277" s="24" t="n">
        <x:v>0.05</x:v>
      </x:c>
      <x:c r="J277" s="22" t="n">
        <x:v>2352.111628564602</x:v>
      </x:c>
      <x:c r="K277" s="22" t="n">
        <x:v>1108.5602689477666</x:v>
      </x:c>
      <x:c r="L277" s="22" t="n">
        <x:v>1243.5513596168355</x:v>
      </x:c>
      <x:c r="M277" s="24" t="n">
        <x:v>0.5286957236701066</x:v>
      </x:c>
    </x:row>
    <x:row r="278">
      <x:c r="A278" t="n">
        <x:v>10275</x:v>
      </x:c>
      <x:c r="B278" s="20" t="n">
        <x:v>46250</x:v>
      </x:c>
      <x:c r="C278" t="str">
        <x:v>Customer 03</x:v>
      </x:c>
      <x:c r="D278" t="str">
        <x:v>Enterprise</x:v>
      </x:c>
      <x:c r="E278" t="str">
        <x:v>South</x:v>
      </x:c>
      <x:c r="F278" t="str">
        <x:v>Reporting Suite</x:v>
      </x:c>
      <x:c r="G278" t="n">
        <x:v>44</x:v>
      </x:c>
      <x:c r="H278" s="22" t="n">
        <x:v>345.9696125714874</x:v>
      </x:c>
      <x:c r="I278" s="24" t="n">
        <x:v>0.08</x:v>
      </x:c>
      <x:c r="J278" s="22" t="n">
        <x:v>14004.84991689381</x:v>
      </x:c>
      <x:c r="K278" s="22" t="n">
        <x:v>5947.625891223141</x:v>
      </x:c>
      <x:c r="L278" s="22" t="n">
        <x:v>8057.22402567067</x:v>
      </x:c>
      <x:c r="M278" s="24" t="n">
        <x:v>0.5753166991065987</x:v>
      </x:c>
    </x:row>
    <x:row r="279">
      <x:c r="A279" t="n">
        <x:v>10276</x:v>
      </x:c>
      <x:c r="B279" s="20" t="n">
        <x:v>46253</x:v>
      </x:c>
      <x:c r="C279" t="str">
        <x:v>Customer 10</x:v>
      </x:c>
      <x:c r="D279" t="str">
        <x:v>Mid-Market</x:v>
      </x:c>
      <x:c r="E279" t="str">
        <x:v>West</x:v>
      </x:c>
      <x:c r="F279" t="str">
        <x:v>Finance Cloud</x:v>
      </x:c>
      <x:c r="G279" t="n">
        <x:v>18</x:v>
      </x:c>
      <x:c r="H279" s="22" t="n">
        <x:v>697.9569365731134</x:v>
      </x:c>
      <x:c r="I279" s="24" t="n">
        <x:v>0.02</x:v>
      </x:c>
      <x:c r="J279" s="22" t="n">
        <x:v>12311.960361149719</x:v>
      </x:c>
      <x:c r="K279" s="22" t="n">
        <x:v>4214.024302592108</x:v>
      </x:c>
      <x:c r="L279" s="22" t="n">
        <x:v>8097.9360585576105</x:v>
      </x:c>
      <x:c r="M279" s="24" t="n">
        <x:v>0.6577292178514947</x:v>
      </x:c>
    </x:row>
    <x:row r="280">
      <x:c r="A280" t="n">
        <x:v>10277</x:v>
      </x:c>
      <x:c r="B280" s="20" t="n">
        <x:v>46256</x:v>
      </x:c>
      <x:c r="C280" t="str">
        <x:v>Customer 17</x:v>
      </x:c>
      <x:c r="D280" t="str">
        <x:v>SMB</x:v>
      </x:c>
      <x:c r="E280" t="str">
        <x:v>Northeast</x:v>
      </x:c>
      <x:c r="F280" t="str">
        <x:v>Analytics Pro</x:v>
      </x:c>
      <x:c r="G280" t="n">
        <x:v>29</x:v>
      </x:c>
      <x:c r="H280" s="22" t="n">
        <x:v>473.5755047711835</x:v>
      </x:c>
      <x:c r="I280" s="24" t="n">
        <x:v>0.08</x:v>
      </x:c>
      <x:c r="J280" s="22" t="n">
        <x:v>12634.994467295177</x:v>
      </x:c>
      <x:c r="K280" s="22" t="n">
        <x:v>4675.977912811703</x:v>
      </x:c>
      <x:c r="L280" s="22" t="n">
        <x:v>7959.016554483474</x:v>
      </x:c>
      <x:c r="M280" s="24" t="n">
        <x:v>0.6299184835485956</x:v>
      </x:c>
    </x:row>
    <x:row r="281">
      <x:c r="A281" t="n">
        <x:v>10278</x:v>
      </x:c>
      <x:c r="B281" s="20" t="n">
        <x:v>46259</x:v>
      </x:c>
      <x:c r="C281" t="str">
        <x:v>Customer 24</x:v>
      </x:c>
      <x:c r="D281" t="str">
        <x:v>Enterprise</x:v>
      </x:c>
      <x:c r="E281" t="str">
        <x:v>Midwest</x:v>
      </x:c>
      <x:c r="F281" t="str">
        <x:v>Data Connect</x:v>
      </x:c>
      <x:c r="G281" t="n">
        <x:v>48</x:v>
      </x:c>
      <x:c r="H281" s="22" t="n">
        <x:v>263.6584686415275</x:v>
      </x:c>
      <x:c r="I281" s="24" t="n">
        <x:v>0</x:v>
      </x:c>
      <x:c r="J281" s="22" t="n">
        <x:v>12655.606494793321</x:v>
      </x:c>
      <x:c r="K281" s="22" t="n">
        <x:v>5670.234011289823</x:v>
      </x:c>
      <x:c r="L281" s="22" t="n">
        <x:v>6985.372483503498</x:v>
      </x:c>
      <x:c r="M281" s="24" t="n">
        <x:v>0.5519587296252748</x:v>
      </x:c>
    </x:row>
    <x:row r="282">
      <x:c r="A282" t="n">
        <x:v>10279</x:v>
      </x:c>
      <x:c r="B282" s="20" t="n">
        <x:v>46235</x:v>
      </x:c>
      <x:c r="C282" t="str">
        <x:v>Customer 01</x:v>
      </x:c>
      <x:c r="D282" t="str">
        <x:v>Mid-Market</x:v>
      </x:c>
      <x:c r="E282" t="str">
        <x:v>South</x:v>
      </x:c>
      <x:c r="F282" t="str">
        <x:v>Reporting Suite</x:v>
      </x:c>
      <x:c r="G282" t="n">
        <x:v>19</x:v>
      </x:c>
      <x:c r="H282" s="22" t="n">
        <x:v>342.27665300179626</x:v>
      </x:c>
      <x:c r="I282" s="24" t="n">
        <x:v>0.05</x:v>
      </x:c>
      <x:c r="J282" s="22" t="n">
        <x:v>6178.093586682422</x:v>
      </x:c>
      <x:c r="K282" s="22" t="n">
        <x:v>2660.41106647505</x:v>
      </x:c>
      <x:c r="L282" s="22" t="n">
        <x:v>3517.682520207372</x:v>
      </x:c>
      <x:c r="M282" s="24" t="n">
        <x:v>0.5693799342551452</x:v>
      </x:c>
    </x:row>
    <x:row r="283">
      <x:c r="A283" t="n">
        <x:v>10280</x:v>
      </x:c>
      <x:c r="B283" s="20" t="n">
        <x:v>46238</x:v>
      </x:c>
      <x:c r="C283" t="str">
        <x:v>Customer 08</x:v>
      </x:c>
      <x:c r="D283" t="str">
        <x:v>SMB</x:v>
      </x:c>
      <x:c r="E283" t="str">
        <x:v>West</x:v>
      </x:c>
      <x:c r="F283" t="str">
        <x:v>Finance Cloud</x:v>
      </x:c>
      <x:c r="G283" t="n">
        <x:v>17</x:v>
      </x:c>
      <x:c r="H283" s="22" t="n">
        <x:v>697.2456906255399</x:v>
      </x:c>
      <x:c r="I283" s="24" t="n">
        <x:v>0</x:v>
      </x:c>
      <x:c r="J283" s="22" t="n">
        <x:v>11853.176740634177</x:v>
      </x:c>
      <x:c r="K283" s="22" t="n">
        <x:v>3687.5895549721076</x:v>
      </x:c>
      <x:c r="L283" s="22" t="n">
        <x:v>8165.587185662069</x:v>
      </x:c>
      <x:c r="M283" s="24" t="n">
        <x:v>0.6888944090126836</x:v>
      </x:c>
    </x:row>
    <x:row r="284">
      <x:c r="A284" t="n">
        <x:v>10281</x:v>
      </x:c>
      <x:c r="B284" s="20" t="n">
        <x:v>46241</x:v>
      </x:c>
      <x:c r="C284" t="str">
        <x:v>Customer 15</x:v>
      </x:c>
      <x:c r="D284" t="str">
        <x:v>Enterprise</x:v>
      </x:c>
      <x:c r="E284" t="str">
        <x:v>Northeast</x:v>
      </x:c>
      <x:c r="F284" t="str">
        <x:v>Analytics Pro</x:v>
      </x:c>
      <x:c r="G284" t="n">
        <x:v>47</x:v>
      </x:c>
      <x:c r="H284" s="22" t="n">
        <x:v>460.36684984871476</x:v>
      </x:c>
      <x:c r="I284" s="24" t="n">
        <x:v>0.08</x:v>
      </x:c>
      <x:c r="J284" s="22" t="n">
        <x:v>19906.26258745843</x:v>
      </x:c>
      <x:c r="K284" s="22" t="n">
        <x:v>7612.509576932192</x:v>
      </x:c>
      <x:c r="L284" s="22" t="n">
        <x:v>12293.753010526238</x:v>
      </x:c>
      <x:c r="M284" s="24" t="n">
        <x:v>0.617582178297582</x:v>
      </x:c>
    </x:row>
    <x:row r="285">
      <x:c r="A285" t="n">
        <x:v>10282</x:v>
      </x:c>
      <x:c r="B285" s="20" t="n">
        <x:v>46244</x:v>
      </x:c>
      <x:c r="C285" t="str">
        <x:v>Customer 22</x:v>
      </x:c>
      <x:c r="D285" t="str">
        <x:v>Mid-Market</x:v>
      </x:c>
      <x:c r="E285" t="str">
        <x:v>Midwest</x:v>
      </x:c>
      <x:c r="F285" t="str">
        <x:v>Data Connect</x:v>
      </x:c>
      <x:c r="G285" t="n">
        <x:v>31</x:v>
      </x:c>
      <x:c r="H285" s="22" t="n">
        <x:v>253.7625680289839</x:v>
      </x:c>
      <x:c r="I285" s="24" t="n">
        <x:v>0.08</x:v>
      </x:c>
      <x:c r="J285" s="22" t="n">
        <x:v>7237.308440186622</x:v>
      </x:c>
      <x:c r="K285" s="22" t="n">
        <x:v>3412.592429760069</x:v>
      </x:c>
      <x:c r="L285" s="22" t="n">
        <x:v>3824.7160104265527</x:v>
      </x:c>
      <x:c r="M285" s="24" t="n">
        <x:v>0.5284721581284337</x:v>
      </x:c>
    </x:row>
    <x:row r="286">
      <x:c r="A286" t="n">
        <x:v>10283</x:v>
      </x:c>
      <x:c r="B286" s="20" t="n">
        <x:v>46247</x:v>
      </x:c>
      <x:c r="C286" t="str">
        <x:v>Customer 29</x:v>
      </x:c>
      <x:c r="D286" t="str">
        <x:v>SMB</x:v>
      </x:c>
      <x:c r="E286" t="str">
        <x:v>South</x:v>
      </x:c>
      <x:c r="F286" t="str">
        <x:v>Reporting Suite</x:v>
      </x:c>
      <x:c r="G286" t="n">
        <x:v>5</x:v>
      </x:c>
      <x:c r="H286" s="22" t="n">
        <x:v>318.69659387641724</x:v>
      </x:c>
      <x:c r="I286" s="24" t="n">
        <x:v>0</x:v>
      </x:c>
      <x:c r="J286" s="22" t="n">
        <x:v>1593.4829693820861</x:v>
      </x:c>
      <x:c r="K286" s="22" t="n">
        <x:v>697.3713080705855</x:v>
      </x:c>
      <x:c r="L286" s="22" t="n">
        <x:v>896.1116613115006</x:v>
      </x:c>
      <x:c r="M286" s="24" t="n">
        <x:v>0.5623603631352212</x:v>
      </x:c>
    </x:row>
    <x:row r="287">
      <x:c r="A287" t="n">
        <x:v>10284</x:v>
      </x:c>
      <x:c r="B287" s="20" t="n">
        <x:v>46250</x:v>
      </x:c>
      <x:c r="C287" t="str">
        <x:v>Customer 06</x:v>
      </x:c>
      <x:c r="D287" t="str">
        <x:v>Enterprise</x:v>
      </x:c>
      <x:c r="E287" t="str">
        <x:v>West</x:v>
      </x:c>
      <x:c r="F287" t="str">
        <x:v>Finance Cloud</x:v>
      </x:c>
      <x:c r="G287" t="n">
        <x:v>48</x:v>
      </x:c>
      <x:c r="H287" s="22" t="n">
        <x:v>714.7132198496012</x:v>
      </x:c>
      <x:c r="I287" s="24" t="n">
        <x:v>0.08</x:v>
      </x:c>
      <x:c r="J287" s="22" t="n">
        <x:v>31561.73578855839</x:v>
      </x:c>
      <x:c r="K287" s="22" t="n">
        <x:v>10448.260007394405</x:v>
      </x:c>
      <x:c r="L287" s="22" t="n">
        <x:v>21113.475781163987</x:v>
      </x:c>
      <x:c r="M287" s="24" t="n">
        <x:v>0.66895800416712</x:v>
      </x:c>
    </x:row>
    <x:row r="288">
      <x:c r="A288" t="n">
        <x:v>10285</x:v>
      </x:c>
      <x:c r="B288" s="20" t="n">
        <x:v>46253</x:v>
      </x:c>
      <x:c r="C288" t="str">
        <x:v>Customer 13</x:v>
      </x:c>
      <x:c r="D288" t="str">
        <x:v>Mid-Market</x:v>
      </x:c>
      <x:c r="E288" t="str">
        <x:v>Northeast</x:v>
      </x:c>
      <x:c r="F288" t="str">
        <x:v>Analytics Pro</x:v>
      </x:c>
      <x:c r="G288" t="n">
        <x:v>29</x:v>
      </x:c>
      <x:c r="H288" s="22" t="n">
        <x:v>438.8213622398131</x:v>
      </x:c>
      <x:c r="I288" s="24" t="n">
        <x:v>0.03</x:v>
      </x:c>
      <x:c r="J288" s="22" t="n">
        <x:v>12344.044919805941</x:v>
      </x:c>
      <x:c r="K288" s="22" t="n">
        <x:v>4892.820950440903</x:v>
      </x:c>
      <x:c r="L288" s="22" t="n">
        <x:v>7451.223969365038</x:v>
      </x:c>
      <x:c r="M288" s="24" t="n">
        <x:v>0.6036290387609977</x:v>
      </x:c>
    </x:row>
    <x:row r="289">
      <x:c r="A289" t="n">
        <x:v>10286</x:v>
      </x:c>
      <x:c r="B289" s="20" t="n">
        <x:v>46256</x:v>
      </x:c>
      <x:c r="C289" t="str">
        <x:v>Customer 20</x:v>
      </x:c>
      <x:c r="D289" t="str">
        <x:v>SMB</x:v>
      </x:c>
      <x:c r="E289" t="str">
        <x:v>Midwest</x:v>
      </x:c>
      <x:c r="F289" t="str">
        <x:v>Data Connect</x:v>
      </x:c>
      <x:c r="G289" t="n">
        <x:v>24</x:v>
      </x:c>
      <x:c r="H289" s="22" t="n">
        <x:v>256.0501036511283</x:v>
      </x:c>
      <x:c r="I289" s="24" t="n">
        <x:v>0</x:v>
      </x:c>
      <x:c r="J289" s="22" t="n">
        <x:v>6145.20248762708</x:v>
      </x:c>
      <x:c r="K289" s="22" t="n">
        <x:v>2830.6487518893564</x:v>
      </x:c>
      <x:c r="L289" s="22" t="n">
        <x:v>3314.5537357377234</x:v>
      </x:c>
      <x:c r="M289" s="24" t="n">
        <x:v>0.5393725825001434</x:v>
      </x:c>
    </x:row>
    <x:row r="290">
      <x:c r="A290" t="n">
        <x:v>10287</x:v>
      </x:c>
      <x:c r="B290" s="20" t="n">
        <x:v>46259</x:v>
      </x:c>
      <x:c r="C290" t="str">
        <x:v>Customer 27</x:v>
      </x:c>
      <x:c r="D290" t="str">
        <x:v>Enterprise</x:v>
      </x:c>
      <x:c r="E290" t="str">
        <x:v>South</x:v>
      </x:c>
      <x:c r="F290" t="str">
        <x:v>Reporting Suite</x:v>
      </x:c>
      <x:c r="G290" t="n">
        <x:v>42</x:v>
      </x:c>
      <x:c r="H290" s="22" t="n">
        <x:v>353.02353298786596</x:v>
      </x:c>
      <x:c r="I290" s="24" t="n">
        <x:v>0.05</x:v>
      </x:c>
      <x:c r="J290" s="22" t="n">
        <x:v>14085.638966215853</x:v>
      </x:c>
      <x:c r="K290" s="22" t="n">
        <x:v>5611.108168706288</x:v>
      </x:c>
      <x:c r="L290" s="22" t="n">
        <x:v>8474.530797509564</x:v>
      </x:c>
      <x:c r="M290" s="24" t="n">
        <x:v>0.6016433345931677</x:v>
      </x:c>
    </x:row>
    <x:row r="291">
      <x:c r="A291" t="n">
        <x:v>10288</x:v>
      </x:c>
      <x:c r="B291" s="20" t="n">
        <x:v>46235</x:v>
      </x:c>
      <x:c r="C291" t="str">
        <x:v>Customer 04</x:v>
      </x:c>
      <x:c r="D291" t="str">
        <x:v>Mid-Market</x:v>
      </x:c>
      <x:c r="E291" t="str">
        <x:v>West</x:v>
      </x:c>
      <x:c r="F291" t="str">
        <x:v>Finance Cloud</x:v>
      </x:c>
      <x:c r="G291" t="n">
        <x:v>33</x:v>
      </x:c>
      <x:c r="H291" s="22" t="n">
        <x:v>729.9484638851217</x:v>
      </x:c>
      <x:c r="I291" s="24" t="n">
        <x:v>0</x:v>
      </x:c>
      <x:c r="J291" s="22" t="n">
        <x:v>24088.299308209014</x:v>
      </x:c>
      <x:c r="K291" s="22" t="n">
        <x:v>7626.206838074739</x:v>
      </x:c>
      <x:c r="L291" s="22" t="n">
        <x:v>16462.092470134274</x:v>
      </x:c>
      <x:c r="M291" s="24" t="n">
        <x:v>0.6834061740724129</x:v>
      </x:c>
    </x:row>
    <x:row r="292">
      <x:c r="A292" t="n">
        <x:v>10289</x:v>
      </x:c>
      <x:c r="B292" s="20" t="n">
        <x:v>46238</x:v>
      </x:c>
      <x:c r="C292" t="str">
        <x:v>Customer 11</x:v>
      </x:c>
      <x:c r="D292" t="str">
        <x:v>SMB</x:v>
      </x:c>
      <x:c r="E292" t="str">
        <x:v>Northeast</x:v>
      </x:c>
      <x:c r="F292" t="str">
        <x:v>Analytics Pro</x:v>
      </x:c>
      <x:c r="G292" t="n">
        <x:v>15</x:v>
      </x:c>
      <x:c r="H292" s="22" t="n">
        <x:v>433.46644436893143</x:v>
      </x:c>
      <x:c r="I292" s="24" t="n">
        <x:v>0</x:v>
      </x:c>
      <x:c r="J292" s="22" t="n">
        <x:v>6501.996665533971</x:v>
      </x:c>
      <x:c r="K292" s="22" t="n">
        <x:v>2498.868516885769</x:v>
      </x:c>
      <x:c r="L292" s="22" t="n">
        <x:v>4003.128148648202</x:v>
      </x:c>
      <x:c r="M292" s="24" t="n">
        <x:v>0.6156767458630261</x:v>
      </x:c>
    </x:row>
    <x:row r="293">
      <x:c r="A293" t="n">
        <x:v>10290</x:v>
      </x:c>
      <x:c r="B293" s="20" t="n">
        <x:v>46241</x:v>
      </x:c>
      <x:c r="C293" t="str">
        <x:v>Customer 18</x:v>
      </x:c>
      <x:c r="D293" t="str">
        <x:v>Enterprise</x:v>
      </x:c>
      <x:c r="E293" t="str">
        <x:v>Midwest</x:v>
      </x:c>
      <x:c r="F293" t="str">
        <x:v>Data Connect</x:v>
      </x:c>
      <x:c r="G293" t="n">
        <x:v>37</x:v>
      </x:c>
      <x:c r="H293" s="22" t="n">
        <x:v>261.1155838208095</x:v>
      </x:c>
      <x:c r="I293" s="24" t="n">
        <x:v>0.03</x:v>
      </x:c>
      <x:c r="J293" s="22" t="n">
        <x:v>9371.438303328852</x:v>
      </x:c>
      <x:c r="K293" s="22" t="n">
        <x:v>4484.239443623872</x:v>
      </x:c>
      <x:c r="L293" s="22" t="n">
        <x:v>4887.19885970498</x:v>
      </x:c>
      <x:c r="M293" s="24" t="n">
        <x:v>0.5214993367633852</x:v>
      </x:c>
    </x:row>
    <x:row r="294">
      <x:c r="A294" t="n">
        <x:v>10291</x:v>
      </x:c>
      <x:c r="B294" s="20" t="n">
        <x:v>46244</x:v>
      </x:c>
      <x:c r="C294" t="str">
        <x:v>Customer 25</x:v>
      </x:c>
      <x:c r="D294" t="str">
        <x:v>Mid-Market</x:v>
      </x:c>
      <x:c r="E294" t="str">
        <x:v>South</x:v>
      </x:c>
      <x:c r="F294" t="str">
        <x:v>Reporting Suite</x:v>
      </x:c>
      <x:c r="G294" t="n">
        <x:v>14</x:v>
      </x:c>
      <x:c r="H294" s="22" t="n">
        <x:v>352.52283361100723</x:v>
      </x:c>
      <x:c r="I294" s="24" t="n">
        <x:v>0.05</x:v>
      </x:c>
      <x:c r="J294" s="22" t="n">
        <x:v>4688.553687026396</x:v>
      </x:c>
      <x:c r="K294" s="22" t="n">
        <x:v>2055.4835386383625</x:v>
      </x:c>
      <x:c r="L294" s="22" t="n">
        <x:v>2633.0701483880334</x:v>
      </x:c>
      <x:c r="M294" s="24" t="n">
        <x:v>0.5615953925565468</x:v>
      </x:c>
    </x:row>
    <x:row r="295">
      <x:c r="A295" t="n">
        <x:v>10292</x:v>
      </x:c>
      <x:c r="B295" s="20" t="n">
        <x:v>46247</x:v>
      </x:c>
      <x:c r="C295" t="str">
        <x:v>Customer 02</x:v>
      </x:c>
      <x:c r="D295" t="str">
        <x:v>SMB</x:v>
      </x:c>
      <x:c r="E295" t="str">
        <x:v>West</x:v>
      </x:c>
      <x:c r="F295" t="str">
        <x:v>Finance Cloud</x:v>
      </x:c>
      <x:c r="G295" t="n">
        <x:v>24</x:v>
      </x:c>
      <x:c r="H295" s="22" t="n">
        <x:v>720.6221515775756</x:v>
      </x:c>
      <x:c r="I295" s="24" t="n">
        <x:v>0.03</x:v>
      </x:c>
      <x:c r="J295" s="22" t="n">
        <x:v>16776.083688725957</x:v>
      </x:c>
      <x:c r="K295" s="22" t="n">
        <x:v>5452.571185071196</x:v>
      </x:c>
      <x:c r="L295" s="22" t="n">
        <x:v>11323.512503654762</x:v>
      </x:c>
      <x:c r="M295" s="24" t="n">
        <x:v>0.6749794954387661</x:v>
      </x:c>
    </x:row>
    <x:row r="296">
      <x:c r="A296" t="n">
        <x:v>10293</x:v>
      </x:c>
      <x:c r="B296" s="20" t="n">
        <x:v>46266</x:v>
      </x:c>
      <x:c r="C296" t="str">
        <x:v>Customer 28</x:v>
      </x:c>
      <x:c r="D296" t="str">
        <x:v>Enterprise</x:v>
      </x:c>
      <x:c r="E296" t="str">
        <x:v>Midwest</x:v>
      </x:c>
      <x:c r="F296" t="str">
        <x:v>Finance Cloud</x:v>
      </x:c>
      <x:c r="G296" t="n">
        <x:v>38</x:v>
      </x:c>
      <x:c r="H296" s="22" t="n">
        <x:v>684.077053258234</x:v>
      </x:c>
      <x:c r="I296" s="24" t="n">
        <x:v>0.05</x:v>
      </x:c>
      <x:c r="J296" s="22" t="n">
        <x:v>24695.181622622244</x:v>
      </x:c>
      <x:c r="K296" s="22" t="n">
        <x:v>7561.966967201186</x:v>
      </x:c>
      <x:c r="L296" s="22" t="n">
        <x:v>17133.214655421056</x:v>
      </x:c>
      <x:c r="M296" s="24" t="n">
        <x:v>0.6937877565446217</x:v>
      </x:c>
    </x:row>
    <x:row r="297">
      <x:c r="A297" t="n">
        <x:v>10294</x:v>
      </x:c>
      <x:c r="B297" s="20" t="n">
        <x:v>46269</x:v>
      </x:c>
      <x:c r="C297" t="str">
        <x:v>Customer 05</x:v>
      </x:c>
      <x:c r="D297" t="str">
        <x:v>Mid-Market</x:v>
      </x:c>
      <x:c r="E297" t="str">
        <x:v>South</x:v>
      </x:c>
      <x:c r="F297" t="str">
        <x:v>Analytics Pro</x:v>
      </x:c>
      <x:c r="G297" t="n">
        <x:v>36</x:v>
      </x:c>
      <x:c r="H297" s="22" t="n">
        <x:v>436.27708502955636</x:v>
      </x:c>
      <x:c r="I297" s="24" t="n">
        <x:v>0.08</x:v>
      </x:c>
      <x:c r="J297" s="22" t="n">
        <x:v>14449.497056178907</x:v>
      </x:c>
      <x:c r="K297" s="22" t="n">
        <x:v>5395.1250708851385</x:v>
      </x:c>
      <x:c r="L297" s="22" t="n">
        <x:v>9054.371985293768</x:v>
      </x:c>
      <x:c r="M297" s="24" t="n">
        <x:v>0.6266219474692325</x:v>
      </x:c>
    </x:row>
    <x:row r="298">
      <x:c r="A298" t="n">
        <x:v>10295</x:v>
      </x:c>
      <x:c r="B298" s="20" t="n">
        <x:v>46272</x:v>
      </x:c>
      <x:c r="C298" t="str">
        <x:v>Customer 12</x:v>
      </x:c>
      <x:c r="D298" t="str">
        <x:v>SMB</x:v>
      </x:c>
      <x:c r="E298" t="str">
        <x:v>West</x:v>
      </x:c>
      <x:c r="F298" t="str">
        <x:v>Data Connect</x:v>
      </x:c>
      <x:c r="G298" t="n">
        <x:v>16</x:v>
      </x:c>
      <x:c r="H298" s="22" t="n">
        <x:v>271.2442932832144</x:v>
      </x:c>
      <x:c r="I298" s="24" t="n">
        <x:v>0.08</x:v>
      </x:c>
      <x:c r="J298" s="22" t="n">
        <x:v>3992.715997128916</x:v>
      </x:c>
      <x:c r="K298" s="22" t="n">
        <x:v>1971.3130091351147</x:v>
      </x:c>
      <x:c r="L298" s="22" t="n">
        <x:v>2021.4029879938014</x:v>
      </x:c>
      <x:c r="M298" s="24" t="n">
        <x:v>0.5062726698937147</x:v>
      </x:c>
    </x:row>
    <x:row r="299">
      <x:c r="A299" t="n">
        <x:v>10296</x:v>
      </x:c>
      <x:c r="B299" s="20" t="n">
        <x:v>46275</x:v>
      </x:c>
      <x:c r="C299" t="str">
        <x:v>Customer 19</x:v>
      </x:c>
      <x:c r="D299" t="str">
        <x:v>Enterprise</x:v>
      </x:c>
      <x:c r="E299" t="str">
        <x:v>Northeast</x:v>
      </x:c>
      <x:c r="F299" t="str">
        <x:v>Reporting Suite</x:v>
      </x:c>
      <x:c r="G299" t="n">
        <x:v>34</x:v>
      </x:c>
      <x:c r="H299" s="22" t="n">
        <x:v>350.8115723006551</x:v>
      </x:c>
      <x:c r="I299" s="24" t="n">
        <x:v>0.08</x:v>
      </x:c>
      <x:c r="J299" s="22" t="n">
        <x:v>10973.385981564492</x:v>
      </x:c>
      <x:c r="K299" s="22" t="n">
        <x:v>4704.8264617973955</x:v>
      </x:c>
      <x:c r="L299" s="22" t="n">
        <x:v>6268.559519767096</x:v>
      </x:c>
      <x:c r="M299" s="24" t="n">
        <x:v>0.5712511644353349</x:v>
      </x:c>
    </x:row>
    <x:row r="300">
      <x:c r="A300" t="n">
        <x:v>10297</x:v>
      </x:c>
      <x:c r="B300" s="20" t="n">
        <x:v>46278</x:v>
      </x:c>
      <x:c r="C300" t="str">
        <x:v>Customer 26</x:v>
      </x:c>
      <x:c r="D300" t="str">
        <x:v>Mid-Market</x:v>
      </x:c>
      <x:c r="E300" t="str">
        <x:v>Midwest</x:v>
      </x:c>
      <x:c r="F300" t="str">
        <x:v>Finance Cloud</x:v>
      </x:c>
      <x:c r="G300" t="n">
        <x:v>17</x:v>
      </x:c>
      <x:c r="H300" s="22" t="n">
        <x:v>721.9188110044655</x:v>
      </x:c>
      <x:c r="I300" s="24" t="n">
        <x:v>0.03</x:v>
      </x:c>
      <x:c r="J300" s="22" t="n">
        <x:v>11904.441193463635</x:v>
      </x:c>
      <x:c r="K300" s="22" t="n">
        <x:v>3529.043724137151</x:v>
      </x:c>
      <x:c r="L300" s="22" t="n">
        <x:v>8375.397469326484</x:v>
      </x:c>
      <x:c r="M300" s="24" t="n">
        <x:v>0.7035523409469366</x:v>
      </x:c>
    </x:row>
    <x:row r="301">
      <x:c r="A301" t="n">
        <x:v>10298</x:v>
      </x:c>
      <x:c r="B301" s="20" t="n">
        <x:v>46281</x:v>
      </x:c>
      <x:c r="C301" t="str">
        <x:v>Customer 03</x:v>
      </x:c>
      <x:c r="D301" t="str">
        <x:v>SMB</x:v>
      </x:c>
      <x:c r="E301" t="str">
        <x:v>South</x:v>
      </x:c>
      <x:c r="F301" t="str">
        <x:v>Analytics Pro</x:v>
      </x:c>
      <x:c r="G301" t="n">
        <x:v>12</x:v>
      </x:c>
      <x:c r="H301" s="22" t="n">
        <x:v>445.34438207432225</x:v>
      </x:c>
      <x:c r="I301" s="24" t="n">
        <x:v>0.03</x:v>
      </x:c>
      <x:c r="J301" s="22" t="n">
        <x:v>5183.80860734511</x:v>
      </x:c>
      <x:c r="K301" s="22" t="n">
        <x:v>2079.105762283676</x:v>
      </x:c>
      <x:c r="L301" s="22" t="n">
        <x:v>3104.7028450614343</x:v>
      </x:c>
      <x:c r="M301" s="24" t="n">
        <x:v>0.5989231239483414</x:v>
      </x:c>
    </x:row>
    <x:row r="302">
      <x:c r="A302" t="n">
        <x:v>10299</x:v>
      </x:c>
      <x:c r="B302" s="20" t="n">
        <x:v>46284</x:v>
      </x:c>
      <x:c r="C302" t="str">
        <x:v>Customer 10</x:v>
      </x:c>
      <x:c r="D302" t="str">
        <x:v>Enterprise</x:v>
      </x:c>
      <x:c r="E302" t="str">
        <x:v>West</x:v>
      </x:c>
      <x:c r="F302" t="str">
        <x:v>Data Connect</x:v>
      </x:c>
      <x:c r="G302" t="n">
        <x:v>41</x:v>
      </x:c>
      <x:c r="H302" s="22" t="n">
        <x:v>250.400950784817</x:v>
      </x:c>
      <x:c r="I302" s="24" t="n">
        <x:v>0.05</x:v>
      </x:c>
      <x:c r="J302" s="22" t="n">
        <x:v>9753.117033068622</x:v>
      </x:c>
      <x:c r="K302" s="22" t="n">
        <x:v>4374.070817577057</x:v>
      </x:c>
      <x:c r="L302" s="22" t="n">
        <x:v>5379.046215491565</x:v>
      </x:c>
      <x:c r="M302" s="24" t="n">
        <x:v>0.5515207289375832</x:v>
      </x:c>
    </x:row>
    <x:row r="303">
      <x:c r="A303" t="n">
        <x:v>10300</x:v>
      </x:c>
      <x:c r="B303" s="20" t="n">
        <x:v>46287</x:v>
      </x:c>
      <x:c r="C303" t="str">
        <x:v>Customer 17</x:v>
      </x:c>
      <x:c r="D303" t="str">
        <x:v>Mid-Market</x:v>
      </x:c>
      <x:c r="E303" t="str">
        <x:v>Northeast</x:v>
      </x:c>
      <x:c r="F303" t="str">
        <x:v>Reporting Suite</x:v>
      </x:c>
      <x:c r="G303" t="n">
        <x:v>32</x:v>
      </x:c>
      <x:c r="H303" s="22" t="n">
        <x:v>347.6708134091337</x:v>
      </x:c>
      <x:c r="I303" s="24" t="n">
        <x:v>0</x:v>
      </x:c>
      <x:c r="J303" s="22" t="n">
        <x:v>11125.466029092278</x:v>
      </x:c>
      <x:c r="K303" s="22" t="n">
        <x:v>4445.601430777972</x:v>
      </x:c>
      <x:c r="L303" s="22" t="n">
        <x:v>6679.864598314306</x:v>
      </x:c>
      <x:c r="M303" s="24" t="n">
        <x:v>0.6004121158472777</x:v>
      </x:c>
    </x:row>
    <x:row r="304">
      <x:c r="A304" t="n">
        <x:v>10301</x:v>
      </x:c>
      <x:c r="B304" s="20" t="n">
        <x:v>46290</x:v>
      </x:c>
      <x:c r="C304" t="str">
        <x:v>Customer 24</x:v>
      </x:c>
      <x:c r="D304" t="str">
        <x:v>SMB</x:v>
      </x:c>
      <x:c r="E304" t="str">
        <x:v>Midwest</x:v>
      </x:c>
      <x:c r="F304" t="str">
        <x:v>Finance Cloud</x:v>
      </x:c>
      <x:c r="G304" t="n">
        <x:v>8</x:v>
      </x:c>
      <x:c r="H304" s="22" t="n">
        <x:v>704.5589651230199</x:v>
      </x:c>
      <x:c r="I304" s="24" t="n">
        <x:v>0.02</x:v>
      </x:c>
      <x:c r="J304" s="22" t="n">
        <x:v>5523.742286564476</x:v>
      </x:c>
      <x:c r="K304" s="22" t="n">
        <x:v>1731.7078702959793</x:v>
      </x:c>
      <x:c r="L304" s="22" t="n">
        <x:v>3792.0344162684964</x:v>
      </x:c>
      <x:c r="M304" s="24" t="n">
        <x:v>0.6864973453761498</x:v>
      </x:c>
    </x:row>
    <x:row r="305">
      <x:c r="A305" t="n">
        <x:v>10302</x:v>
      </x:c>
      <x:c r="B305" s="20" t="n">
        <x:v>46266</x:v>
      </x:c>
      <x:c r="C305" t="str">
        <x:v>Customer 01</x:v>
      </x:c>
      <x:c r="D305" t="str">
        <x:v>Enterprise</x:v>
      </x:c>
      <x:c r="E305" t="str">
        <x:v>South</x:v>
      </x:c>
      <x:c r="F305" t="str">
        <x:v>Analytics Pro</x:v>
      </x:c>
      <x:c r="G305" t="n">
        <x:v>43</x:v>
      </x:c>
      <x:c r="H305" s="22" t="n">
        <x:v>469.9735960839115</x:v>
      </x:c>
      <x:c r="I305" s="24" t="n">
        <x:v>0.08</x:v>
      </x:c>
      <x:c r="J305" s="22" t="n">
        <x:v>18592.15546107954</x:v>
      </x:c>
      <x:c r="K305" s="22" t="n">
        <x:v>7154.469441804654</x:v>
      </x:c>
      <x:c r="L305" s="22" t="n">
        <x:v>11437.686019274886</x:v>
      </x:c>
      <x:c r="M305" s="24" t="n">
        <x:v>0.6151888113897455</x:v>
      </x:c>
    </x:row>
    <x:row r="306">
      <x:c r="A306" t="n">
        <x:v>10303</x:v>
      </x:c>
      <x:c r="B306" s="20" t="n">
        <x:v>46269</x:v>
      </x:c>
      <x:c r="C306" t="str">
        <x:v>Customer 08</x:v>
      </x:c>
      <x:c r="D306" t="str">
        <x:v>Mid-Market</x:v>
      </x:c>
      <x:c r="E306" t="str">
        <x:v>West</x:v>
      </x:c>
      <x:c r="F306" t="str">
        <x:v>Data Connect</x:v>
      </x:c>
      <x:c r="G306" t="n">
        <x:v>31</x:v>
      </x:c>
      <x:c r="H306" s="22" t="n">
        <x:v>269.5872511174916</x:v>
      </x:c>
      <x:c r="I306" s="24" t="n">
        <x:v>0</x:v>
      </x:c>
      <x:c r="J306" s="22" t="n">
        <x:v>8357.20478464224</x:v>
      </x:c>
      <x:c r="K306" s="22" t="n">
        <x:v>4000.5808558175495</x:v>
      </x:c>
      <x:c r="L306" s="22" t="n">
        <x:v>4356.62392882469</x:v>
      </x:c>
      <x:c r="M306" s="24" t="n">
        <x:v>0.5213015644693444</x:v>
      </x:c>
    </x:row>
    <x:row r="307">
      <x:c r="A307" t="n">
        <x:v>10304</x:v>
      </x:c>
      <x:c r="B307" s="20" t="n">
        <x:v>46272</x:v>
      </x:c>
      <x:c r="C307" t="str">
        <x:v>Customer 15</x:v>
      </x:c>
      <x:c r="D307" t="str">
        <x:v>SMB</x:v>
      </x:c>
      <x:c r="E307" t="str">
        <x:v>Northeast</x:v>
      </x:c>
      <x:c r="F307" t="str">
        <x:v>Reporting Suite</x:v>
      </x:c>
      <x:c r="G307" t="n">
        <x:v>12</x:v>
      </x:c>
      <x:c r="H307" s="22" t="n">
        <x:v>328.6592261001121</x:v>
      </x:c>
      <x:c r="I307" s="24" t="n">
        <x:v>0.05</x:v>
      </x:c>
      <x:c r="J307" s="22" t="n">
        <x:v>3746.7151775412776</x:v>
      </x:c>
      <x:c r="K307" s="22" t="n">
        <x:v>1570.9342991720882</x:v>
      </x:c>
      <x:c r="L307" s="22" t="n">
        <x:v>2175.7808783691894</x:v>
      </x:c>
      <x:c r="M307" s="24" t="n">
        <x:v>0.5807169147554502</x:v>
      </x:c>
    </x:row>
    <x:row r="308">
      <x:c r="A308" t="n">
        <x:v>10305</x:v>
      </x:c>
      <x:c r="B308" s="20" t="n">
        <x:v>46275</x:v>
      </x:c>
      <x:c r="C308" t="str">
        <x:v>Customer 22</x:v>
      </x:c>
      <x:c r="D308" t="str">
        <x:v>Enterprise</x:v>
      </x:c>
      <x:c r="E308" t="str">
        <x:v>Midwest</x:v>
      </x:c>
      <x:c r="F308" t="str">
        <x:v>Finance Cloud</x:v>
      </x:c>
      <x:c r="G308" t="n">
        <x:v>39</x:v>
      </x:c>
      <x:c r="H308" s="22" t="n">
        <x:v>730.1752660746848</x:v>
      </x:c>
      <x:c r="I308" s="24" t="n">
        <x:v>0</x:v>
      </x:c>
      <x:c r="J308" s="22" t="n">
        <x:v>28476.83537691271</x:v>
      </x:c>
      <x:c r="K308" s="22" t="n">
        <x:v>8892.137965294618</x:v>
      </x:c>
      <x:c r="L308" s="22" t="n">
        <x:v>19584.697411618094</x:v>
      </x:c>
      <x:c r="M308" s="24" t="n">
        <x:v>0.687741357225957</x:v>
      </x:c>
    </x:row>
    <x:row r="309">
      <x:c r="A309" t="n">
        <x:v>10306</x:v>
      </x:c>
      <x:c r="B309" s="20" t="n">
        <x:v>46278</x:v>
      </x:c>
      <x:c r="C309" t="str">
        <x:v>Customer 29</x:v>
      </x:c>
      <x:c r="D309" t="str">
        <x:v>Mid-Market</x:v>
      </x:c>
      <x:c r="E309" t="str">
        <x:v>South</x:v>
      </x:c>
      <x:c r="F309" t="str">
        <x:v>Analytics Pro</x:v>
      </x:c>
      <x:c r="G309" t="n">
        <x:v>30</x:v>
      </x:c>
      <x:c r="H309" s="22" t="n">
        <x:v>436.42384052563034</x:v>
      </x:c>
      <x:c r="I309" s="24" t="n">
        <x:v>0.08</x:v>
      </x:c>
      <x:c r="J309" s="22" t="n">
        <x:v>12045.297998507398</x:v>
      </x:c>
      <x:c r="K309" s="22" t="n">
        <x:v>4569.162615975454</x:v>
      </x:c>
      <x:c r="L309" s="22" t="n">
        <x:v>7476.135382531944</x:v>
      </x:c>
      <x:c r="M309" s="24" t="n">
        <x:v>0.6206683623317875</x:v>
      </x:c>
    </x:row>
    <x:row r="310">
      <x:c r="A310" t="n">
        <x:v>10307</x:v>
      </x:c>
      <x:c r="B310" s="20" t="n">
        <x:v>46281</x:v>
      </x:c>
      <x:c r="C310" t="str">
        <x:v>Customer 06</x:v>
      </x:c>
      <x:c r="D310" t="str">
        <x:v>SMB</x:v>
      </x:c>
      <x:c r="E310" t="str">
        <x:v>West</x:v>
      </x:c>
      <x:c r="F310" t="str">
        <x:v>Data Connect</x:v>
      </x:c>
      <x:c r="G310" t="n">
        <x:v>14</x:v>
      </x:c>
      <x:c r="H310" s="22" t="n">
        <x:v>258.3121085299829</x:v>
      </x:c>
      <x:c r="I310" s="24" t="n">
        <x:v>0.08</x:v>
      </x:c>
      <x:c r="J310" s="22" t="n">
        <x:v>3327.0599578661795</x:v>
      </x:c>
      <x:c r="K310" s="22" t="n">
        <x:v>1489.6548242803995</x:v>
      </x:c>
      <x:c r="L310" s="22" t="n">
        <x:v>1837.40513358578</x:v>
      </x:c>
      <x:c r="M310" s="24" t="n">
        <x:v>0.552260902074096</x:v>
      </x:c>
    </x:row>
    <x:row r="311">
      <x:c r="A311" t="n">
        <x:v>10308</x:v>
      </x:c>
      <x:c r="B311" s="20" t="n">
        <x:v>46284</x:v>
      </x:c>
      <x:c r="C311" t="str">
        <x:v>Customer 13</x:v>
      </x:c>
      <x:c r="D311" t="str">
        <x:v>Enterprise</x:v>
      </x:c>
      <x:c r="E311" t="str">
        <x:v>Northeast</x:v>
      </x:c>
      <x:c r="F311" t="str">
        <x:v>Reporting Suite</x:v>
      </x:c>
      <x:c r="G311" t="n">
        <x:v>42</x:v>
      </x:c>
      <x:c r="H311" s="22" t="n">
        <x:v>325.91494884629515</x:v>
      </x:c>
      <x:c r="I311" s="24" t="n">
        <x:v>0.02</x:v>
      </x:c>
      <x:c r="J311" s="22" t="n">
        <x:v>13414.659294513509</x:v>
      </x:c>
      <x:c r="K311" s="22" t="n">
        <x:v>5813.477044765381</x:v>
      </x:c>
      <x:c r="L311" s="22" t="n">
        <x:v>7601.182249748128</x:v>
      </x:c>
      <x:c r="M311" s="24" t="n">
        <x:v>0.5666325236345698</x:v>
      </x:c>
    </x:row>
    <x:row r="312">
      <x:c r="A312" t="n">
        <x:v>10309</x:v>
      </x:c>
      <x:c r="B312" s="20" t="n">
        <x:v>46287</x:v>
      </x:c>
      <x:c r="C312" t="str">
        <x:v>Customer 20</x:v>
      </x:c>
      <x:c r="D312" t="str">
        <x:v>Mid-Market</x:v>
      </x:c>
      <x:c r="E312" t="str">
        <x:v>Midwest</x:v>
      </x:c>
      <x:c r="F312" t="str">
        <x:v>Finance Cloud</x:v>
      </x:c>
      <x:c r="G312" t="n">
        <x:v>28</x:v>
      </x:c>
      <x:c r="H312" s="22" t="n">
        <x:v>676.1910689018458</x:v>
      </x:c>
      <x:c r="I312" s="24" t="n">
        <x:v>0.05</x:v>
      </x:c>
      <x:c r="J312" s="22" t="n">
        <x:v>17986.682432789097</x:v>
      </x:c>
      <x:c r="K312" s="22" t="n">
        <x:v>5977.886608219761</x:v>
      </x:c>
      <x:c r="L312" s="22" t="n">
        <x:v>12008.795824569337</x:v>
      </x:c>
      <x:c r="M312" s="24" t="n">
        <x:v>0.6676492938285117</x:v>
      </x:c>
    </x:row>
    <x:row r="313">
      <x:c r="A313" t="n">
        <x:v>10310</x:v>
      </x:c>
      <x:c r="B313" s="20" t="n">
        <x:v>46290</x:v>
      </x:c>
      <x:c r="C313" t="str">
        <x:v>Customer 27</x:v>
      </x:c>
      <x:c r="D313" t="str">
        <x:v>SMB</x:v>
      </x:c>
      <x:c r="E313" t="str">
        <x:v>South</x:v>
      </x:c>
      <x:c r="F313" t="str">
        <x:v>Analytics Pro</x:v>
      </x:c>
      <x:c r="G313" t="n">
        <x:v>9</x:v>
      </x:c>
      <x:c r="H313" s="22" t="n">
        <x:v>439.9839696358513</x:v>
      </x:c>
      <x:c r="I313" s="24" t="n">
        <x:v>0.05</x:v>
      </x:c>
      <x:c r="J313" s="22" t="n">
        <x:v>3761.8629403865284</x:v>
      </x:c>
      <x:c r="K313" s="22" t="n">
        <x:v>1435.636433694543</x:v>
      </x:c>
      <x:c r="L313" s="22" t="n">
        <x:v>2326.2265066919854</x:v>
      </x:c>
      <x:c r="M313" s="24" t="n">
        <x:v>0.6183708826066288</x:v>
      </x:c>
    </x:row>
    <x:row r="314">
      <x:c r="A314" t="n">
        <x:v>10311</x:v>
      </x:c>
      <x:c r="B314" s="20" t="n">
        <x:v>46266</x:v>
      </x:c>
      <x:c r="C314" t="str">
        <x:v>Customer 04</x:v>
      </x:c>
      <x:c r="D314" t="str">
        <x:v>Enterprise</x:v>
      </x:c>
      <x:c r="E314" t="str">
        <x:v>West</x:v>
      </x:c>
      <x:c r="F314" t="str">
        <x:v>Data Connect</x:v>
      </x:c>
      <x:c r="G314" t="n">
        <x:v>46</x:v>
      </x:c>
      <x:c r="H314" s="22" t="n">
        <x:v>266.8753682074267</x:v>
      </x:c>
      <x:c r="I314" s="24" t="n">
        <x:v>0.03</x:v>
      </x:c>
      <x:c r="J314" s="22" t="n">
        <x:v>11907.978929415378</x:v>
      </x:c>
      <x:c r="K314" s="22" t="n">
        <x:v>5341.9642983271715</x:v>
      </x:c>
      <x:c r="L314" s="22" t="n">
        <x:v>6566.014631088206</x:v>
      </x:c>
      <x:c r="M314" s="24" t="n">
        <x:v>0.5513962251703921</x:v>
      </x:c>
    </x:row>
    <x:row r="315">
      <x:c r="A315" t="n">
        <x:v>10312</x:v>
      </x:c>
      <x:c r="B315" s="20" t="n">
        <x:v>46269</x:v>
      </x:c>
      <x:c r="C315" t="str">
        <x:v>Customer 11</x:v>
      </x:c>
      <x:c r="D315" t="str">
        <x:v>Mid-Market</x:v>
      </x:c>
      <x:c r="E315" t="str">
        <x:v>Northeast</x:v>
      </x:c>
      <x:c r="F315" t="str">
        <x:v>Reporting Suite</x:v>
      </x:c>
      <x:c r="G315" t="n">
        <x:v>38</x:v>
      </x:c>
      <x:c r="H315" s="22" t="n">
        <x:v>352.568821351292</x:v>
      </x:c>
      <x:c r="I315" s="24" t="n">
        <x:v>0</x:v>
      </x:c>
      <x:c r="J315" s="22" t="n">
        <x:v>13397.615211349095</x:v>
      </x:c>
      <x:c r="K315" s="22" t="n">
        <x:v>5584.273122899108</x:v>
      </x:c>
      <x:c r="L315" s="22" t="n">
        <x:v>7813.342088449987</x:v>
      </x:c>
      <x:c r="M315" s="24" t="n">
        <x:v>0.5831890202243843</x:v>
      </x:c>
    </x:row>
    <x:row r="316">
      <x:c r="A316" t="n">
        <x:v>10313</x:v>
      </x:c>
      <x:c r="B316" s="20" t="n">
        <x:v>46272</x:v>
      </x:c>
      <x:c r="C316" t="str">
        <x:v>Customer 18</x:v>
      </x:c>
      <x:c r="D316" t="str">
        <x:v>SMB</x:v>
      </x:c>
      <x:c r="E316" t="str">
        <x:v>Midwest</x:v>
      </x:c>
      <x:c r="F316" t="str">
        <x:v>Finance Cloud</x:v>
      </x:c>
      <x:c r="G316" t="n">
        <x:v>12</x:v>
      </x:c>
      <x:c r="H316" s="22" t="n">
        <x:v>692.6064148201871</x:v>
      </x:c>
      <x:c r="I316" s="24" t="n">
        <x:v>0.05</x:v>
      </x:c>
      <x:c r="J316" s="22" t="n">
        <x:v>7895.713128950132</x:v>
      </x:c>
      <x:c r="K316" s="22" t="n">
        <x:v>2555.6053424655975</x:v>
      </x:c>
      <x:c r="L316" s="22" t="n">
        <x:v>5340.107786484535</x:v>
      </x:c>
      <x:c r="M316" s="24" t="n">
        <x:v>0.6763300159557079</x:v>
      </x:c>
    </x:row>
    <x:row r="317">
      <x:c r="A317" t="n">
        <x:v>10314</x:v>
      </x:c>
      <x:c r="B317" s="20" t="n">
        <x:v>46275</x:v>
      </x:c>
      <x:c r="C317" t="str">
        <x:v>Customer 25</x:v>
      </x:c>
      <x:c r="D317" t="str">
        <x:v>Enterprise</x:v>
      </x:c>
      <x:c r="E317" t="str">
        <x:v>South</x:v>
      </x:c>
      <x:c r="F317" t="str">
        <x:v>Analytics Pro</x:v>
      </x:c>
      <x:c r="G317" t="n">
        <x:v>45</x:v>
      </x:c>
      <x:c r="H317" s="22" t="n">
        <x:v>469.309034952751</x:v>
      </x:c>
      <x:c r="I317" s="24" t="n">
        <x:v>0.05</x:v>
      </x:c>
      <x:c r="J317" s="22" t="n">
        <x:v>20062.961244230104</x:v>
      </x:c>
      <x:c r="K317" s="22" t="n">
        <x:v>7412.777859165806</x:v>
      </x:c>
      <x:c r="L317" s="22" t="n">
        <x:v>12650.183385064298</x:v>
      </x:c>
      <x:c r="M317" s="24" t="n">
        <x:v>0.630524239720712</x:v>
      </x:c>
    </x:row>
    <x:row r="318">
      <x:c r="A318" t="n">
        <x:v>10315</x:v>
      </x:c>
      <x:c r="B318" s="20" t="n">
        <x:v>46278</x:v>
      </x:c>
      <x:c r="C318" t="str">
        <x:v>Customer 02</x:v>
      </x:c>
      <x:c r="D318" t="str">
        <x:v>Mid-Market</x:v>
      </x:c>
      <x:c r="E318" t="str">
        <x:v>West</x:v>
      </x:c>
      <x:c r="F318" t="str">
        <x:v>Data Connect</x:v>
      </x:c>
      <x:c r="G318" t="n">
        <x:v>10</x:v>
      </x:c>
      <x:c r="H318" s="22" t="n">
        <x:v>251.29944288470676</x:v>
      </x:c>
      <x:c r="I318" s="24" t="n">
        <x:v>0.08</x:v>
      </x:c>
      <x:c r="J318" s="22" t="n">
        <x:v>2311.9548745393026</x:v>
      </x:c>
      <x:c r="K318" s="22" t="n">
        <x:v>1082.0060829246809</x:v>
      </x:c>
      <x:c r="L318" s="22" t="n">
        <x:v>1229.9487916146218</x:v>
      </x:c>
      <x:c r="M318" s="24" t="n">
        <x:v>0.5319951549053096</x:v>
      </x:c>
    </x:row>
    <x:row r="319">
      <x:c r="A319" t="n">
        <x:v>10316</x:v>
      </x:c>
      <x:c r="B319" s="20" t="n">
        <x:v>46281</x:v>
      </x:c>
      <x:c r="C319" t="str">
        <x:v>Customer 09</x:v>
      </x:c>
      <x:c r="D319" t="str">
        <x:v>SMB</x:v>
      </x:c>
      <x:c r="E319" t="str">
        <x:v>Northeast</x:v>
      </x:c>
      <x:c r="F319" t="str">
        <x:v>Reporting Suite</x:v>
      </x:c>
      <x:c r="G319" t="n">
        <x:v>27</x:v>
      </x:c>
      <x:c r="H319" s="22" t="n">
        <x:v>345.5883079457196</x:v>
      </x:c>
      <x:c r="I319" s="24" t="n">
        <x:v>0.03</x:v>
      </x:c>
      <x:c r="J319" s="22" t="n">
        <x:v>9050.957785098395</x:v>
      </x:c>
      <x:c r="K319" s="22" t="n">
        <x:v>3615.01131687551</x:v>
      </x:c>
      <x:c r="L319" s="22" t="n">
        <x:v>5435.9464682228845</x:v>
      </x:c>
      <x:c r="M319" s="24" t="n">
        <x:v>0.6005935059351057</x:v>
      </x:c>
    </x:row>
    <x:row r="320">
      <x:c r="A320" t="n">
        <x:v>10317</x:v>
      </x:c>
      <x:c r="B320" s="20" t="n">
        <x:v>46284</x:v>
      </x:c>
      <x:c r="C320" t="str">
        <x:v>Customer 16</x:v>
      </x:c>
      <x:c r="D320" t="str">
        <x:v>Enterprise</x:v>
      </x:c>
      <x:c r="E320" t="str">
        <x:v>Midwest</x:v>
      </x:c>
      <x:c r="F320" t="str">
        <x:v>Finance Cloud</x:v>
      </x:c>
      <x:c r="G320" t="n">
        <x:v>48</x:v>
      </x:c>
      <x:c r="H320" s="22" t="n">
        <x:v>716.0558369315137</x:v>
      </x:c>
      <x:c r="I320" s="24" t="n">
        <x:v>0.08</x:v>
      </x:c>
      <x:c r="J320" s="22" t="n">
        <x:v>31621.02575889565</x:v>
      </x:c>
      <x:c r="K320" s="22" t="n">
        <x:v>9452.547677832099</x:v>
      </x:c>
      <x:c r="L320" s="22" t="n">
        <x:v>22168.47808106355</x:v>
      </x:c>
      <x:c r="M320" s="24" t="n">
        <x:v>0.701067645625857</x:v>
      </x:c>
    </x:row>
    <x:row r="321">
      <x:c r="A321" t="n">
        <x:v>10318</x:v>
      </x:c>
      <x:c r="B321" s="20" t="n">
        <x:v>46287</x:v>
      </x:c>
      <x:c r="C321" t="str">
        <x:v>Customer 23</x:v>
      </x:c>
      <x:c r="D321" t="str">
        <x:v>Mid-Market</x:v>
      </x:c>
      <x:c r="E321" t="str">
        <x:v>South</x:v>
      </x:c>
      <x:c r="F321" t="str">
        <x:v>Analytics Pro</x:v>
      </x:c>
      <x:c r="G321" t="n">
        <x:v>23</x:v>
      </x:c>
      <x:c r="H321" s="22" t="n">
        <x:v>478.1551293281111</x:v>
      </x:c>
      <x:c r="I321" s="24" t="n">
        <x:v>0.03</x:v>
      </x:c>
      <x:c r="J321" s="22" t="n">
        <x:v>10667.640935310157</x:v>
      </x:c>
      <x:c r="K321" s="22" t="n">
        <x:v>3905.195090314169</x:v>
      </x:c>
      <x:c r="L321" s="22" t="n">
        <x:v>6762.4458449959875</x:v>
      </x:c>
      <x:c r="M321" s="24" t="n">
        <x:v>0.6339213970552874</x:v>
      </x:c>
    </x:row>
    <x:row r="322">
      <x:c r="A322" t="n">
        <x:v>10319</x:v>
      </x:c>
      <x:c r="B322" s="20" t="n">
        <x:v>46290</x:v>
      </x:c>
      <x:c r="C322" t="str">
        <x:v>Customer 30</x:v>
      </x:c>
      <x:c r="D322" t="str">
        <x:v>SMB</x:v>
      </x:c>
      <x:c r="E322" t="str">
        <x:v>West</x:v>
      </x:c>
      <x:c r="F322" t="str">
        <x:v>Data Connect</x:v>
      </x:c>
      <x:c r="G322" t="n">
        <x:v>16</x:v>
      </x:c>
      <x:c r="H322" s="22" t="n">
        <x:v>265.78218874546536</x:v>
      </x:c>
      <x:c r="I322" s="24" t="n">
        <x:v>0.08</x:v>
      </x:c>
      <x:c r="J322" s="22" t="n">
        <x:v>3912.3138183332503</x:v>
      </x:c>
      <x:c r="K322" s="22" t="n">
        <x:v>1840.7342741639814</x:v>
      </x:c>
      <x:c r="L322" s="22" t="n">
        <x:v>2071.579544169269</x:v>
      </x:c>
      <x:c r="M322" s="24" t="n">
        <x:v>0.5295023968838515</x:v>
      </x:c>
    </x:row>
    <x:row r="323">
      <x:c r="A323" t="n">
        <x:v>10320</x:v>
      </x:c>
      <x:c r="B323" s="20" t="n">
        <x:v>46266</x:v>
      </x:c>
      <x:c r="C323" t="str">
        <x:v>Customer 07</x:v>
      </x:c>
      <x:c r="D323" t="str">
        <x:v>Enterprise</x:v>
      </x:c>
      <x:c r="E323" t="str">
        <x:v>Northeast</x:v>
      </x:c>
      <x:c r="F323" t="str">
        <x:v>Reporting Suite</x:v>
      </x:c>
      <x:c r="G323" t="n">
        <x:v>41</x:v>
      </x:c>
      <x:c r="H323" s="22" t="n">
        <x:v>354.35935492010793</x:v>
      </x:c>
      <x:c r="I323" s="24" t="n">
        <x:v>0.03</x:v>
      </x:c>
      <x:c r="J323" s="22" t="n">
        <x:v>14092.871545172691</x:v>
      </x:c>
      <x:c r="K323" s="22" t="n">
        <x:v>5814.084433558126</x:v>
      </x:c>
      <x:c r="L323" s="22" t="n">
        <x:v>8278.787111614565</x:v>
      </x:c>
      <x:c r="M323" s="24" t="n">
        <x:v>0.5874450132521319</x:v>
      </x:c>
    </x:row>
    <x:row r="324">
      <x:c r="A324" t="n">
        <x:v>10321</x:v>
      </x:c>
      <x:c r="B324" s="20" t="n">
        <x:v>46269</x:v>
      </x:c>
      <x:c r="C324" t="str">
        <x:v>Customer 14</x:v>
      </x:c>
      <x:c r="D324" t="str">
        <x:v>Mid-Market</x:v>
      </x:c>
      <x:c r="E324" t="str">
        <x:v>Midwest</x:v>
      </x:c>
      <x:c r="F324" t="str">
        <x:v>Finance Cloud</x:v>
      </x:c>
      <x:c r="G324" t="n">
        <x:v>39</x:v>
      </x:c>
      <x:c r="H324" s="22" t="n">
        <x:v>678.5465898565022</x:v>
      </x:c>
      <x:c r="I324" s="24" t="n">
        <x:v>0</x:v>
      </x:c>
      <x:c r="J324" s="22" t="n">
        <x:v>26463.317004403587</x:v>
      </x:c>
      <x:c r="K324" s="22" t="n">
        <x:v>8000.448504886293</x:v>
      </x:c>
      <x:c r="L324" s="22" t="n">
        <x:v>18462.868499517295</x:v>
      </x:c>
      <x:c r="M324" s="24" t="n">
        <x:v>0.6976777890861153</x:v>
      </x:c>
    </x:row>
    <x:row r="325">
      <x:c r="A325" t="n">
        <x:v>10322</x:v>
      </x:c>
      <x:c r="B325" s="20" t="n">
        <x:v>46272</x:v>
      </x:c>
      <x:c r="C325" t="str">
        <x:v>Customer 21</x:v>
      </x:c>
      <x:c r="D325" t="str">
        <x:v>SMB</x:v>
      </x:c>
      <x:c r="E325" t="str">
        <x:v>South</x:v>
      </x:c>
      <x:c r="F325" t="str">
        <x:v>Analytics Pro</x:v>
      </x:c>
      <x:c r="G325" t="n">
        <x:v>13</x:v>
      </x:c>
      <x:c r="H325" s="22" t="n">
        <x:v>441.1693237599384</x:v>
      </x:c>
      <x:c r="I325" s="24" t="n">
        <x:v>0.08</x:v>
      </x:c>
      <x:c r="J325" s="22" t="n">
        <x:v>5276.385112168863</x:v>
      </x:c>
      <x:c r="K325" s="22" t="n">
        <x:v>1913.4467087605105</x:v>
      </x:c>
      <x:c r="L325" s="22" t="n">
        <x:v>3362.9384034083523</x:v>
      </x:c>
      <x:c r="M325" s="24" t="n">
        <x:v>0.6373565105497034</x:v>
      </x:c>
    </x:row>
    <x:row r="326">
      <x:c r="A326" t="n">
        <x:v>10323</x:v>
      </x:c>
      <x:c r="B326" s="20" t="n">
        <x:v>46275</x:v>
      </x:c>
      <x:c r="C326" t="str">
        <x:v>Customer 28</x:v>
      </x:c>
      <x:c r="D326" t="str">
        <x:v>Enterprise</x:v>
      </x:c>
      <x:c r="E326" t="str">
        <x:v>West</x:v>
      </x:c>
      <x:c r="F326" t="str">
        <x:v>Data Connect</x:v>
      </x:c>
      <x:c r="G326" t="n">
        <x:v>45</x:v>
      </x:c>
      <x:c r="H326" s="22" t="n">
        <x:v>275.76696287707426</x:v>
      </x:c>
      <x:c r="I326" s="24" t="n">
        <x:v>0.05</x:v>
      </x:c>
      <x:c r="J326" s="22" t="n">
        <x:v>11789.037662994924</x:v>
      </x:c>
      <x:c r="K326" s="22" t="n">
        <x:v>5519.599769960843</x:v>
      </x:c>
      <x:c r="L326" s="22" t="n">
        <x:v>6269.437893034081</x:v>
      </x:c>
      <x:c r="M326" s="24" t="n">
        <x:v>0.5318023465743491</x:v>
      </x:c>
    </x:row>
    <x:row r="327">
      <x:c r="A327" t="n">
        <x:v>10324</x:v>
      </x:c>
      <x:c r="B327" s="20" t="n">
        <x:v>46278</x:v>
      </x:c>
      <x:c r="C327" t="str">
        <x:v>Customer 05</x:v>
      </x:c>
      <x:c r="D327" t="str">
        <x:v>Mid-Market</x:v>
      </x:c>
      <x:c r="E327" t="str">
        <x:v>Northeast</x:v>
      </x:c>
      <x:c r="F327" t="str">
        <x:v>Reporting Suite</x:v>
      </x:c>
      <x:c r="G327" t="n">
        <x:v>24</x:v>
      </x:c>
      <x:c r="H327" s="22" t="n">
        <x:v>340.4843463763558</x:v>
      </x:c>
      <x:c r="I327" s="24" t="n">
        <x:v>0.08</x:v>
      </x:c>
      <x:c r="J327" s="22" t="n">
        <x:v>7517.894367989937</x:v>
      </x:c>
      <x:c r="K327" s="22" t="n">
        <x:v>3138.3093905222377</x:v>
      </x:c>
      <x:c r="L327" s="22" t="n">
        <x:v>4379.584977467699</x:v>
      </x:c>
      <x:c r="M327" s="24" t="n">
        <x:v>0.5825547371502469</x:v>
      </x:c>
    </x:row>
    <x:row r="328">
      <x:c r="A328" t="n">
        <x:v>10325</x:v>
      </x:c>
      <x:c r="B328" s="20" t="n">
        <x:v>46281</x:v>
      </x:c>
      <x:c r="C328" t="str">
        <x:v>Customer 12</x:v>
      </x:c>
      <x:c r="D328" t="str">
        <x:v>SMB</x:v>
      </x:c>
      <x:c r="E328" t="str">
        <x:v>Midwest</x:v>
      </x:c>
      <x:c r="F328" t="str">
        <x:v>Finance Cloud</x:v>
      </x:c>
      <x:c r="G328" t="n">
        <x:v>25</x:v>
      </x:c>
      <x:c r="H328" s="22" t="n">
        <x:v>720.0030630865316</x:v>
      </x:c>
      <x:c r="I328" s="24" t="n">
        <x:v>0.08</x:v>
      </x:c>
      <x:c r="J328" s="22" t="n">
        <x:v>16560.070450990228</x:v>
      </x:c>
      <x:c r="K328" s="22" t="n">
        <x:v>5152.838345639854</x:v>
      </x:c>
      <x:c r="L328" s="22" t="n">
        <x:v>11407.232105350373</x:v>
      </x:c>
      <x:c r="M328" s="24" t="n">
        <x:v>0.6888395879178318</x:v>
      </x:c>
    </x:row>
    <x:row r="329">
      <x:c r="A329" t="n">
        <x:v>10326</x:v>
      </x:c>
      <x:c r="B329" s="20" t="n">
        <x:v>46284</x:v>
      </x:c>
      <x:c r="C329" t="str">
        <x:v>Customer 19</x:v>
      </x:c>
      <x:c r="D329" t="str">
        <x:v>Enterprise</x:v>
      </x:c>
      <x:c r="E329" t="str">
        <x:v>South</x:v>
      </x:c>
      <x:c r="F329" t="str">
        <x:v>Analytics Pro</x:v>
      </x:c>
      <x:c r="G329" t="n">
        <x:v>40</x:v>
      </x:c>
      <x:c r="H329" s="22" t="n">
        <x:v>483.67337625533946</x:v>
      </x:c>
      <x:c r="I329" s="24" t="n">
        <x:v>0.03</x:v>
      </x:c>
      <x:c r="J329" s="22" t="n">
        <x:v>18766.52699870717</x:v>
      </x:c>
      <x:c r="K329" s="22" t="n">
        <x:v>6803.764391985937</x:v>
      </x:c>
      <x:c r="L329" s="22" t="n">
        <x:v>11962.762606721233</x:v>
      </x:c>
      <x:c r="M329" s="24" t="n">
        <x:v>0.6374521299303463</x:v>
      </x:c>
    </x:row>
    <x:row r="330">
      <x:c r="A330" t="n">
        <x:v>10327</x:v>
      </x:c>
      <x:c r="B330" s="20" t="n">
        <x:v>46287</x:v>
      </x:c>
      <x:c r="C330" t="str">
        <x:v>Customer 26</x:v>
      </x:c>
      <x:c r="D330" t="str">
        <x:v>Mid-Market</x:v>
      </x:c>
      <x:c r="E330" t="str">
        <x:v>West</x:v>
      </x:c>
      <x:c r="F330" t="str">
        <x:v>Data Connect</x:v>
      </x:c>
      <x:c r="G330" t="n">
        <x:v>35</x:v>
      </x:c>
      <x:c r="H330" s="22" t="n">
        <x:v>255.41013909988393</x:v>
      </x:c>
      <x:c r="I330" s="24" t="n">
        <x:v>0.03</x:v>
      </x:c>
      <x:c r="J330" s="22" t="n">
        <x:v>8671.17422244106</x:v>
      </x:c>
      <x:c r="K330" s="22" t="n">
        <x:v>4115.087716490047</x:v>
      </x:c>
      <x:c r="L330" s="22" t="n">
        <x:v>4556.086505951012</x:v>
      </x:c>
      <x:c r="M330" s="24" t="n">
        <x:v>0.525429012158449</x:v>
      </x:c>
    </x:row>
    <x:row r="331">
      <x:c r="A331" t="n">
        <x:v>10328</x:v>
      </x:c>
      <x:c r="B331" s="20" t="n">
        <x:v>46296</x:v>
      </x:c>
      <x:c r="C331" t="str">
        <x:v>Customer 01</x:v>
      </x:c>
      <x:c r="D331" t="str">
        <x:v>SMB</x:v>
      </x:c>
      <x:c r="E331" t="str">
        <x:v>South</x:v>
      </x:c>
      <x:c r="F331" t="str">
        <x:v>Reporting Suite</x:v>
      </x:c>
      <x:c r="G331" t="n">
        <x:v>19</x:v>
      </x:c>
      <x:c r="H331" s="22" t="n">
        <x:v>334.9414757496136</x:v>
      </x:c>
      <x:c r="I331" s="24" t="n">
        <x:v>0</x:v>
      </x:c>
      <x:c r="J331" s="22" t="n">
        <x:v>6363.888039242658</x:v>
      </x:c>
      <x:c r="K331" s="22" t="n">
        <x:v>2612.505815888876</x:v>
      </x:c>
      <x:c r="L331" s="22" t="n">
        <x:v>3751.382223353782</x:v>
      </x:c>
      <x:c r="M331" s="24" t="n">
        <x:v>0.5894796074696845</x:v>
      </x:c>
    </x:row>
    <x:row r="332">
      <x:c r="A332" t="n">
        <x:v>10329</x:v>
      </x:c>
      <x:c r="B332" s="20" t="n">
        <x:v>46299</x:v>
      </x:c>
      <x:c r="C332" t="str">
        <x:v>Customer 08</x:v>
      </x:c>
      <x:c r="D332" t="str">
        <x:v>Enterprise</x:v>
      </x:c>
      <x:c r="E332" t="str">
        <x:v>West</x:v>
      </x:c>
      <x:c r="F332" t="str">
        <x:v>Finance Cloud</x:v>
      </x:c>
      <x:c r="G332" t="n">
        <x:v>42</x:v>
      </x:c>
      <x:c r="H332" s="22" t="n">
        <x:v>743.4595709966959</x:v>
      </x:c>
      <x:c r="I332" s="24" t="n">
        <x:v>0</x:v>
      </x:c>
      <x:c r="J332" s="22" t="n">
        <x:v>31225.301981861227</x:v>
      </x:c>
      <x:c r="K332" s="22" t="n">
        <x:v>10217.959344153356</x:v>
      </x:c>
      <x:c r="L332" s="22" t="n">
        <x:v>21007.342637707872</x:v>
      </x:c>
      <x:c r="M332" s="24" t="n">
        <x:v>0.6727666765212081</x:v>
      </x:c>
    </x:row>
    <x:row r="333">
      <x:c r="A333" t="n">
        <x:v>10330</x:v>
      </x:c>
      <x:c r="B333" s="20" t="n">
        <x:v>46302</x:v>
      </x:c>
      <x:c r="C333" t="str">
        <x:v>Customer 15</x:v>
      </x:c>
      <x:c r="D333" t="str">
        <x:v>Mid-Market</x:v>
      </x:c>
      <x:c r="E333" t="str">
        <x:v>Northeast</x:v>
      </x:c>
      <x:c r="F333" t="str">
        <x:v>Analytics Pro</x:v>
      </x:c>
      <x:c r="G333" t="n">
        <x:v>28</x:v>
      </x:c>
      <x:c r="H333" s="22" t="n">
        <x:v>488.46531144363786</x:v>
      </x:c>
      <x:c r="I333" s="24" t="n">
        <x:v>0</x:v>
      </x:c>
      <x:c r="J333" s="22" t="n">
        <x:v>13677.02872042186</x:v>
      </x:c>
      <x:c r="K333" s="22" t="n">
        <x:v>5275.919565332769</x:v>
      </x:c>
      <x:c r="L333" s="22" t="n">
        <x:v>8401.109155089092</x:v>
      </x:c>
      <x:c r="M333" s="24" t="n">
        <x:v>0.6142495805792214</x:v>
      </x:c>
    </x:row>
    <x:row r="334">
      <x:c r="A334" t="n">
        <x:v>10331</x:v>
      </x:c>
      <x:c r="B334" s="20" t="n">
        <x:v>46305</x:v>
      </x:c>
      <x:c r="C334" t="str">
        <x:v>Customer 22</x:v>
      </x:c>
      <x:c r="D334" t="str">
        <x:v>SMB</x:v>
      </x:c>
      <x:c r="E334" t="str">
        <x:v>Midwest</x:v>
      </x:c>
      <x:c r="F334" t="str">
        <x:v>Data Connect</x:v>
      </x:c>
      <x:c r="G334" t="n">
        <x:v>7</x:v>
      </x:c>
      <x:c r="H334" s="22" t="n">
        <x:v>265.7207426439974</x:v>
      </x:c>
      <x:c r="I334" s="24" t="n">
        <x:v>0</x:v>
      </x:c>
      <x:c r="J334" s="22" t="n">
        <x:v>1860.045198507982</x:v>
      </x:c>
      <x:c r="K334" s="22" t="n">
        <x:v>869.5463641402059</x:v>
      </x:c>
      <x:c r="L334" s="22" t="n">
        <x:v>990.498834367776</x:v>
      </x:c>
      <x:c r="M334" s="24" t="n">
        <x:v>0.5325133148174547</x:v>
      </x:c>
    </x:row>
    <x:row r="335">
      <x:c r="A335" t="n">
        <x:v>10332</x:v>
      </x:c>
      <x:c r="B335" s="20" t="n">
        <x:v>46308</x:v>
      </x:c>
      <x:c r="C335" t="str">
        <x:v>Customer 29</x:v>
      </x:c>
      <x:c r="D335" t="str">
        <x:v>Enterprise</x:v>
      </x:c>
      <x:c r="E335" t="str">
        <x:v>South</x:v>
      </x:c>
      <x:c r="F335" t="str">
        <x:v>Reporting Suite</x:v>
      </x:c>
      <x:c r="G335" t="n">
        <x:v>44</x:v>
      </x:c>
      <x:c r="H335" s="22" t="n">
        <x:v>353.677667352201</x:v>
      </x:c>
      <x:c r="I335" s="24" t="n">
        <x:v>0.02</x:v>
      </x:c>
      <x:c r="J335" s="22" t="n">
        <x:v>15250.581016226906</x:v>
      </x:c>
      <x:c r="K335" s="22" t="n">
        <x:v>6269.152998719285</x:v>
      </x:c>
      <x:c r="L335" s="22" t="n">
        <x:v>8981.42801750762</x:v>
      </x:c>
      <x:c r="M335" s="24" t="n">
        <x:v>0.5889236618559786</x:v>
      </x:c>
    </x:row>
    <x:row r="336">
      <x:c r="A336" t="n">
        <x:v>10333</x:v>
      </x:c>
      <x:c r="B336" s="20" t="n">
        <x:v>46311</x:v>
      </x:c>
      <x:c r="C336" t="str">
        <x:v>Customer 06</x:v>
      </x:c>
      <x:c r="D336" t="str">
        <x:v>Mid-Market</x:v>
      </x:c>
      <x:c r="E336" t="str">
        <x:v>West</x:v>
      </x:c>
      <x:c r="F336" t="str">
        <x:v>Finance Cloud</x:v>
      </x:c>
      <x:c r="G336" t="n">
        <x:v>23</x:v>
      </x:c>
      <x:c r="H336" s="22" t="n">
        <x:v>677.4087634686746</x:v>
      </x:c>
      <x:c r="I336" s="24" t="n">
        <x:v>0</x:v>
      </x:c>
      <x:c r="J336" s="22" t="n">
        <x:v>15580.401559779515</x:v>
      </x:c>
      <x:c r="K336" s="22" t="n">
        <x:v>5227.977888737976</x:v>
      </x:c>
      <x:c r="L336" s="22" t="n">
        <x:v>10352.423671041539</x:v>
      </x:c>
      <x:c r="M336" s="24" t="n">
        <x:v>0.664451659433869</x:v>
      </x:c>
    </x:row>
    <x:row r="337">
      <x:c r="A337" t="n">
        <x:v>10334</x:v>
      </x:c>
      <x:c r="B337" s="20" t="n">
        <x:v>46314</x:v>
      </x:c>
      <x:c r="C337" t="str">
        <x:v>Customer 13</x:v>
      </x:c>
      <x:c r="D337" t="str">
        <x:v>SMB</x:v>
      </x:c>
      <x:c r="E337" t="str">
        <x:v>Northeast</x:v>
      </x:c>
      <x:c r="F337" t="str">
        <x:v>Analytics Pro</x:v>
      </x:c>
      <x:c r="G337" t="n">
        <x:v>16</x:v>
      </x:c>
      <x:c r="H337" s="22" t="n">
        <x:v>480.70419076204445</x:v>
      </x:c>
      <x:c r="I337" s="24" t="n">
        <x:v>0</x:v>
      </x:c>
      <x:c r="J337" s="22" t="n">
        <x:v>7691.267052192711</x:v>
      </x:c>
      <x:c r="K337" s="22" t="n">
        <x:v>2924.4308591014646</x:v>
      </x:c>
      <x:c r="L337" s="22" t="n">
        <x:v>4766.836193091247</x:v>
      </x:c>
      <x:c r="M337" s="24" t="n">
        <x:v>0.6197725499249522</x:v>
      </x:c>
    </x:row>
    <x:row r="338">
      <x:c r="A338" t="n">
        <x:v>10335</x:v>
      </x:c>
      <x:c r="B338" s="20" t="n">
        <x:v>46317</x:v>
      </x:c>
      <x:c r="C338" t="str">
        <x:v>Customer 20</x:v>
      </x:c>
      <x:c r="D338" t="str">
        <x:v>Enterprise</x:v>
      </x:c>
      <x:c r="E338" t="str">
        <x:v>Midwest</x:v>
      </x:c>
      <x:c r="F338" t="str">
        <x:v>Data Connect</x:v>
      </x:c>
      <x:c r="G338" t="n">
        <x:v>47</x:v>
      </x:c>
      <x:c r="H338" s="22" t="n">
        <x:v>262.02818213011653</x:v>
      </x:c>
      <x:c r="I338" s="24" t="n">
        <x:v>0.05</x:v>
      </x:c>
      <x:c r="J338" s="22" t="n">
        <x:v>11699.558332109704</x:v>
      </x:c>
      <x:c r="K338" s="22" t="n">
        <x:v>5512.871988180757</x:v>
      </x:c>
      <x:c r="L338" s="22" t="n">
        <x:v>6186.686343928946</x:v>
      </x:c>
      <x:c r="M338" s="24" t="n">
        <x:v>0.5287965723414914</x:v>
      </x:c>
    </x:row>
    <x:row r="339">
      <x:c r="A339" t="n">
        <x:v>10336</x:v>
      </x:c>
      <x:c r="B339" s="20" t="n">
        <x:v>46320</x:v>
      </x:c>
      <x:c r="C339" t="str">
        <x:v>Customer 27</x:v>
      </x:c>
      <x:c r="D339" t="str">
        <x:v>Mid-Market</x:v>
      </x:c>
      <x:c r="E339" t="str">
        <x:v>South</x:v>
      </x:c>
      <x:c r="F339" t="str">
        <x:v>Reporting Suite</x:v>
      </x:c>
      <x:c r="G339" t="n">
        <x:v>33</x:v>
      </x:c>
      <x:c r="H339" s="22" t="n">
        <x:v>345.49323722672386</x:v>
      </x:c>
      <x:c r="I339" s="24" t="n">
        <x:v>0.03</x:v>
      </x:c>
      <x:c r="J339" s="22" t="n">
        <x:v>11059.23852362743</x:v>
      </x:c>
      <x:c r="K339" s="22" t="n">
        <x:v>4574.572167036126</x:v>
      </x:c>
      <x:c r="L339" s="22" t="n">
        <x:v>6484.666356591303</x:v>
      </x:c>
      <x:c r="M339" s="24" t="n">
        <x:v>0.5863574008949337</x:v>
      </x:c>
    </x:row>
    <x:row r="340">
      <x:c r="A340" t="n">
        <x:v>10337</x:v>
      </x:c>
      <x:c r="B340" s="20" t="n">
        <x:v>46296</x:v>
      </x:c>
      <x:c r="C340" t="str">
        <x:v>Customer 04</x:v>
      </x:c>
      <x:c r="D340" t="str">
        <x:v>SMB</x:v>
      </x:c>
      <x:c r="E340" t="str">
        <x:v>West</x:v>
      </x:c>
      <x:c r="F340" t="str">
        <x:v>Finance Cloud</x:v>
      </x:c>
      <x:c r="G340" t="n">
        <x:v>14</x:v>
      </x:c>
      <x:c r="H340" s="22" t="n">
        <x:v>701.1319011989939</x:v>
      </x:c>
      <x:c r="I340" s="24" t="n">
        <x:v>0.08</x:v>
      </x:c>
      <x:c r="J340" s="22" t="n">
        <x:v>9030.578887443042</x:v>
      </x:c>
      <x:c r="K340" s="22" t="n">
        <x:v>2687.6653186502317</x:v>
      </x:c>
      <x:c r="L340" s="22" t="n">
        <x:v>6342.91356879281</x:v>
      </x:c>
      <x:c r="M340" s="24" t="n">
        <x:v>0.7023817241231997</x:v>
      </x:c>
    </x:row>
    <x:row r="341">
      <x:c r="A341" t="n">
        <x:v>10338</x:v>
      </x:c>
      <x:c r="B341" s="20" t="n">
        <x:v>46299</x:v>
      </x:c>
      <x:c r="C341" t="str">
        <x:v>Customer 11</x:v>
      </x:c>
      <x:c r="D341" t="str">
        <x:v>Enterprise</x:v>
      </x:c>
      <x:c r="E341" t="str">
        <x:v>Northeast</x:v>
      </x:c>
      <x:c r="F341" t="str">
        <x:v>Analytics Pro</x:v>
      </x:c>
      <x:c r="G341" t="n">
        <x:v>53</x:v>
      </x:c>
      <x:c r="H341" s="22" t="n">
        <x:v>469.2563516870634</x:v>
      </x:c>
      <x:c r="I341" s="24" t="n">
        <x:v>0.03</x:v>
      </x:c>
      <x:c r="J341" s="22" t="n">
        <x:v>24124.46904023193</x:v>
      </x:c>
      <x:c r="K341" s="22" t="n">
        <x:v>8643.6909336801</x:v>
      </x:c>
      <x:c r="L341" s="22" t="n">
        <x:v>15480.778106551828</x:v>
      </x:c>
      <x:c r="M341" s="24" t="n">
        <x:v>0.6417044072860142</x:v>
      </x:c>
    </x:row>
    <x:row r="342">
      <x:c r="A342" t="n">
        <x:v>10339</x:v>
      </x:c>
      <x:c r="B342" s="20" t="n">
        <x:v>46302</x:v>
      </x:c>
      <x:c r="C342" t="str">
        <x:v>Customer 18</x:v>
      </x:c>
      <x:c r="D342" t="str">
        <x:v>Mid-Market</x:v>
      </x:c>
      <x:c r="E342" t="str">
        <x:v>Midwest</x:v>
      </x:c>
      <x:c r="F342" t="str">
        <x:v>Data Connect</x:v>
      </x:c>
      <x:c r="G342" t="n">
        <x:v>37</x:v>
      </x:c>
      <x:c r="H342" s="22" t="n">
        <x:v>257.16177613245867</x:v>
      </x:c>
      <x:c r="I342" s="24" t="n">
        <x:v>0.08</x:v>
      </x:c>
      <x:c r="J342" s="22" t="n">
        <x:v>8753.786859548893</x:v>
      </x:c>
      <x:c r="K342" s="22" t="n">
        <x:v>4277.660354022099</x:v>
      </x:c>
      <x:c r="L342" s="22" t="n">
        <x:v>4476.126505526793</x:v>
      </x:c>
      <x:c r="M342" s="24" t="n">
        <x:v>0.5113360168969731</x:v>
      </x:c>
    </x:row>
    <x:row r="343">
      <x:c r="A343" t="n">
        <x:v>10340</x:v>
      </x:c>
      <x:c r="B343" s="20" t="n">
        <x:v>46305</x:v>
      </x:c>
      <x:c r="C343" t="str">
        <x:v>Customer 25</x:v>
      </x:c>
      <x:c r="D343" t="str">
        <x:v>SMB</x:v>
      </x:c>
      <x:c r="E343" t="str">
        <x:v>South</x:v>
      </x:c>
      <x:c r="F343" t="str">
        <x:v>Reporting Suite</x:v>
      </x:c>
      <x:c r="G343" t="n">
        <x:v>22</x:v>
      </x:c>
      <x:c r="H343" s="22" t="n">
        <x:v>334.181174515598</x:v>
      </x:c>
      <x:c r="I343" s="24" t="n">
        <x:v>0.08</x:v>
      </x:c>
      <x:c r="J343" s="22" t="n">
        <x:v>6763.826972195704</x:v>
      </x:c>
      <x:c r="K343" s="22" t="n">
        <x:v>2896.139527101272</x:v>
      </x:c>
      <x:c r="L343" s="22" t="n">
        <x:v>3867.687445094432</x:v>
      </x:c>
      <x:c r="M343" s="24" t="n">
        <x:v>0.571819394699697</x:v>
      </x:c>
    </x:row>
    <x:row r="344">
      <x:c r="A344" t="n">
        <x:v>10341</x:v>
      </x:c>
      <x:c r="B344" s="20" t="n">
        <x:v>46308</x:v>
      </x:c>
      <x:c r="C344" t="str">
        <x:v>Customer 02</x:v>
      </x:c>
      <x:c r="D344" t="str">
        <x:v>Enterprise</x:v>
      </x:c>
      <x:c r="E344" t="str">
        <x:v>West</x:v>
      </x:c>
      <x:c r="F344" t="str">
        <x:v>Finance Cloud</x:v>
      </x:c>
      <x:c r="G344" t="n">
        <x:v>50</x:v>
      </x:c>
      <x:c r="H344" s="22" t="n">
        <x:v>728.3894948074936</x:v>
      </x:c>
      <x:c r="I344" s="24" t="n">
        <x:v>0.05</x:v>
      </x:c>
      <x:c r="J344" s="22" t="n">
        <x:v>34598.501003355945</x:v>
      </x:c>
      <x:c r="K344" s="22" t="n">
        <x:v>10429.634499894653</x:v>
      </x:c>
      <x:c r="L344" s="22" t="n">
        <x:v>24168.866503461293</x:v>
      </x:c>
      <x:c r="M344" s="24" t="n">
        <x:v>0.698552417086422</x:v>
      </x:c>
    </x:row>
    <x:row r="345">
      <x:c r="A345" t="n">
        <x:v>10342</x:v>
      </x:c>
      <x:c r="B345" s="20" t="n">
        <x:v>46311</x:v>
      </x:c>
      <x:c r="C345" t="str">
        <x:v>Customer 09</x:v>
      </x:c>
      <x:c r="D345" t="str">
        <x:v>Mid-Market</x:v>
      </x:c>
      <x:c r="E345" t="str">
        <x:v>Northeast</x:v>
      </x:c>
      <x:c r="F345" t="str">
        <x:v>Analytics Pro</x:v>
      </x:c>
      <x:c r="G345" t="n">
        <x:v>24</x:v>
      </x:c>
      <x:c r="H345" s="22" t="n">
        <x:v>473.57775775673133</x:v>
      </x:c>
      <x:c r="I345" s="24" t="n">
        <x:v>0</x:v>
      </x:c>
      <x:c r="J345" s="22" t="n">
        <x:v>11365.866186161551</x:v>
      </x:c>
      <x:c r="K345" s="22" t="n">
        <x:v>4210.815811388808</x:v>
      </x:c>
      <x:c r="L345" s="22" t="n">
        <x:v>7155.050374772743</x:v>
      </x:c>
      <x:c r="M345" s="24" t="n">
        <x:v>0.6295209056292019</x:v>
      </x:c>
    </x:row>
    <x:row r="346">
      <x:c r="A346" t="n">
        <x:v>10343</x:v>
      </x:c>
      <x:c r="B346" s="20" t="n">
        <x:v>46314</x:v>
      </x:c>
      <x:c r="C346" t="str">
        <x:v>Customer 16</x:v>
      </x:c>
      <x:c r="D346" t="str">
        <x:v>SMB</x:v>
      </x:c>
      <x:c r="E346" t="str">
        <x:v>Midwest</x:v>
      </x:c>
      <x:c r="F346" t="str">
        <x:v>Data Connect</x:v>
      </x:c>
      <x:c r="G346" t="n">
        <x:v>5</x:v>
      </x:c>
      <x:c r="H346" s="22" t="n">
        <x:v>273.9216939512529</x:v>
      </x:c>
      <x:c r="I346" s="24" t="n">
        <x:v>0.08</x:v>
      </x:c>
      <x:c r="J346" s="22" t="n">
        <x:v>1260.0397921757635</x:v>
      </x:c>
      <x:c r="K346" s="22" t="n">
        <x:v>566.6054302522147</x:v>
      </x:c>
      <x:c r="L346" s="22" t="n">
        <x:v>693.4343619235489</x:v>
      </x:c>
      <x:c r="M346" s="24" t="n">
        <x:v>0.550327351746699</x:v>
      </x:c>
    </x:row>
    <x:row r="347">
      <x:c r="A347" t="n">
        <x:v>10344</x:v>
      </x:c>
      <x:c r="B347" s="20" t="n">
        <x:v>46317</x:v>
      </x:c>
      <x:c r="C347" t="str">
        <x:v>Customer 23</x:v>
      </x:c>
      <x:c r="D347" t="str">
        <x:v>Enterprise</x:v>
      </x:c>
      <x:c r="E347" t="str">
        <x:v>South</x:v>
      </x:c>
      <x:c r="F347" t="str">
        <x:v>Reporting Suite</x:v>
      </x:c>
      <x:c r="G347" t="n">
        <x:v>54</x:v>
      </x:c>
      <x:c r="H347" s="22" t="n">
        <x:v>347.9750611600711</x:v>
      </x:c>
      <x:c r="I347" s="24" t="n">
        <x:v>0.08</x:v>
      </x:c>
      <x:c r="J347" s="22" t="n">
        <x:v>17287.401038432334</x:v>
      </x:c>
      <x:c r="K347" s="22" t="n">
        <x:v>7141.276780606741</x:v>
      </x:c>
      <x:c r="L347" s="22" t="n">
        <x:v>10146.124257825591</x:v>
      </x:c>
      <x:c r="M347" s="24" t="n">
        <x:v>0.5869085951826607</x:v>
      </x:c>
    </x:row>
    <x:row r="348">
      <x:c r="A348" t="n">
        <x:v>10345</x:v>
      </x:c>
      <x:c r="B348" s="20" t="n">
        <x:v>46320</x:v>
      </x:c>
      <x:c r="C348" t="str">
        <x:v>Customer 30</x:v>
      </x:c>
      <x:c r="D348" t="str">
        <x:v>Mid-Market</x:v>
      </x:c>
      <x:c r="E348" t="str">
        <x:v>West</x:v>
      </x:c>
      <x:c r="F348" t="str">
        <x:v>Finance Cloud</x:v>
      </x:c>
      <x:c r="G348" t="n">
        <x:v>24</x:v>
      </x:c>
      <x:c r="H348" s="22" t="n">
        <x:v>690.4777303317237</x:v>
      </x:c>
      <x:c r="I348" s="24" t="n">
        <x:v>0.05</x:v>
      </x:c>
      <x:c r="J348" s="22" t="n">
        <x:v>15742.8922515633</x:v>
      </x:c>
      <x:c r="K348" s="22" t="n">
        <x:v>4795.289099476907</x:v>
      </x:c>
      <x:c r="L348" s="22" t="n">
        <x:v>10947.603152086394</x:v>
      </x:c>
      <x:c r="M348" s="24" t="n">
        <x:v>0.6953997383167807</x:v>
      </x:c>
    </x:row>
    <x:row r="349">
      <x:c r="A349" t="n">
        <x:v>10346</x:v>
      </x:c>
      <x:c r="B349" s="20" t="n">
        <x:v>46296</x:v>
      </x:c>
      <x:c r="C349" t="str">
        <x:v>Customer 07</x:v>
      </x:c>
      <x:c r="D349" t="str">
        <x:v>SMB</x:v>
      </x:c>
      <x:c r="E349" t="str">
        <x:v>Northeast</x:v>
      </x:c>
      <x:c r="F349" t="str">
        <x:v>Analytics Pro</x:v>
      </x:c>
      <x:c r="G349" t="n">
        <x:v>19</x:v>
      </x:c>
      <x:c r="H349" s="22" t="n">
        <x:v>489.71870387395194</x:v>
      </x:c>
      <x:c r="I349" s="24" t="n">
        <x:v>0.02</x:v>
      </x:c>
      <x:c r="J349" s="22" t="n">
        <x:v>9118.562266132985</x:v>
      </x:c>
      <x:c r="K349" s="22" t="n">
        <x:v>3272.2713357756566</x:v>
      </x:c>
      <x:c r="L349" s="22" t="n">
        <x:v>5846.290930357329</x:v>
      </x:c>
      <x:c r="M349" s="24" t="n">
        <x:v>0.6411417457849562</x:v>
      </x:c>
    </x:row>
    <x:row r="350">
      <x:c r="A350" t="n">
        <x:v>10347</x:v>
      </x:c>
      <x:c r="B350" s="20" t="n">
        <x:v>46299</x:v>
      </x:c>
      <x:c r="C350" t="str">
        <x:v>Customer 14</x:v>
      </x:c>
      <x:c r="D350" t="str">
        <x:v>Enterprise</x:v>
      </x:c>
      <x:c r="E350" t="str">
        <x:v>Midwest</x:v>
      </x:c>
      <x:c r="F350" t="str">
        <x:v>Data Connect</x:v>
      </x:c>
      <x:c r="G350" t="n">
        <x:v>47</x:v>
      </x:c>
      <x:c r="H350" s="22" t="n">
        <x:v>272.5813111411031</x:v>
      </x:c>
      <x:c r="I350" s="24" t="n">
        <x:v>0.08</x:v>
      </x:c>
      <x:c r="J350" s="22" t="n">
        <x:v>11786.415893741298</x:v>
      </x:c>
      <x:c r="K350" s="22" t="n">
        <x:v>5267.200454908479</x:v>
      </x:c>
      <x:c r="L350" s="22" t="n">
        <x:v>6519.215438832819</x:v>
      </x:c>
      <x:c r="M350" s="24" t="n">
        <x:v>0.553112625382122</x:v>
      </x:c>
    </x:row>
    <x:row r="351">
      <x:c r="A351" t="n">
        <x:v>10348</x:v>
      </x:c>
      <x:c r="B351" s="20" t="n">
        <x:v>46302</x:v>
      </x:c>
      <x:c r="C351" t="str">
        <x:v>Customer 21</x:v>
      </x:c>
      <x:c r="D351" t="str">
        <x:v>Mid-Market</x:v>
      </x:c>
      <x:c r="E351" t="str">
        <x:v>South</x:v>
      </x:c>
      <x:c r="F351" t="str">
        <x:v>Reporting Suite</x:v>
      </x:c>
      <x:c r="G351" t="n">
        <x:v>24</x:v>
      </x:c>
      <x:c r="H351" s="22" t="n">
        <x:v>334.3203981007784</x:v>
      </x:c>
      <x:c r="I351" s="24" t="n">
        <x:v>0.08</x:v>
      </x:c>
      <x:c r="J351" s="22" t="n">
        <x:v>7381.794390065187</x:v>
      </x:c>
      <x:c r="K351" s="22" t="n">
        <x:v>2964.177638018137</x:v>
      </x:c>
      <x:c r="L351" s="22" t="n">
        <x:v>4417.61675204705</x:v>
      </x:c>
      <x:c r="M351" s="24" t="n">
        <x:v>0.5984475479285246</x:v>
      </x:c>
    </x:row>
    <x:row r="352">
      <x:c r="A352" t="n">
        <x:v>10349</x:v>
      </x:c>
      <x:c r="B352" s="20" t="n">
        <x:v>46305</x:v>
      </x:c>
      <x:c r="C352" t="str">
        <x:v>Customer 28</x:v>
      </x:c>
      <x:c r="D352" t="str">
        <x:v>SMB</x:v>
      </x:c>
      <x:c r="E352" t="str">
        <x:v>West</x:v>
      </x:c>
      <x:c r="F352" t="str">
        <x:v>Finance Cloud</x:v>
      </x:c>
      <x:c r="G352" t="n">
        <x:v>12</x:v>
      </x:c>
      <x:c r="H352" s="22" t="n">
        <x:v>743.4294058639271</x:v>
      </x:c>
      <x:c r="I352" s="24" t="n">
        <x:v>0.08</x:v>
      </x:c>
      <x:c r="J352" s="22" t="n">
        <x:v>8207.460640737756</x:v>
      </x:c>
      <x:c r="K352" s="22" t="n">
        <x:v>2753.21061329642</x:v>
      </x:c>
      <x:c r="L352" s="22" t="n">
        <x:v>5454.250027441336</x:v>
      </x:c>
      <x:c r="M352" s="24" t="n">
        <x:v>0.664547814018035</x:v>
      </x:c>
    </x:row>
    <x:row r="353">
      <x:c r="A353" t="n">
        <x:v>10350</x:v>
      </x:c>
      <x:c r="B353" s="20" t="n">
        <x:v>46308</x:v>
      </x:c>
      <x:c r="C353" t="str">
        <x:v>Customer 05</x:v>
      </x:c>
      <x:c r="D353" t="str">
        <x:v>Enterprise</x:v>
      </x:c>
      <x:c r="E353" t="str">
        <x:v>Northeast</x:v>
      </x:c>
      <x:c r="F353" t="str">
        <x:v>Analytics Pro</x:v>
      </x:c>
      <x:c r="G353" t="n">
        <x:v>48</x:v>
      </x:c>
      <x:c r="H353" s="22" t="n">
        <x:v>443.4574913488507</x:v>
      </x:c>
      <x:c r="I353" s="24" t="n">
        <x:v>0.05</x:v>
      </x:c>
      <x:c r="J353" s="22" t="n">
        <x:v>20221.66160550759</x:v>
      </x:c>
      <x:c r="K353" s="22" t="n">
        <x:v>7222.866544596155</x:v>
      </x:c>
      <x:c r="L353" s="22" t="n">
        <x:v>12998.795060911434</x:v>
      </x:c>
      <x:c r="M353" s="24" t="n">
        <x:v>0.6428153786022742</x:v>
      </x:c>
    </x:row>
    <x:row r="354">
      <x:c r="A354" t="n">
        <x:v>10351</x:v>
      </x:c>
      <x:c r="B354" s="20" t="n">
        <x:v>46311</x:v>
      </x:c>
      <x:c r="C354" t="str">
        <x:v>Customer 12</x:v>
      </x:c>
      <x:c r="D354" t="str">
        <x:v>Mid-Market</x:v>
      </x:c>
      <x:c r="E354" t="str">
        <x:v>Midwest</x:v>
      </x:c>
      <x:c r="F354" t="str">
        <x:v>Data Connect</x:v>
      </x:c>
      <x:c r="G354" t="n">
        <x:v>19</x:v>
      </x:c>
      <x:c r="H354" s="22" t="n">
        <x:v>278.87656695598525</x:v>
      </x:c>
      <x:c r="I354" s="24" t="n">
        <x:v>0.08</x:v>
      </x:c>
      <x:c r="J354" s="22" t="n">
        <x:v>4874.762390390622</x:v>
      </x:c>
      <x:c r="K354" s="22" t="n">
        <x:v>2238.7170622054077</x:v>
      </x:c>
      <x:c r="L354" s="22" t="n">
        <x:v>2636.0453281852147</x:v>
      </x:c>
      <x:c r="M354" s="24" t="n">
        <x:v>0.5407536033718321</x:v>
      </x:c>
    </x:row>
    <x:row r="355">
      <x:c r="A355" t="n">
        <x:v>10352</x:v>
      </x:c>
      <x:c r="B355" s="20" t="n">
        <x:v>46314</x:v>
      </x:c>
      <x:c r="C355" t="str">
        <x:v>Customer 19</x:v>
      </x:c>
      <x:c r="D355" t="str">
        <x:v>SMB</x:v>
      </x:c>
      <x:c r="E355" t="str">
        <x:v>South</x:v>
      </x:c>
      <x:c r="F355" t="str">
        <x:v>Reporting Suite</x:v>
      </x:c>
      <x:c r="G355" t="n">
        <x:v>25</x:v>
      </x:c>
      <x:c r="H355" s="22" t="n">
        <x:v>351.17011432046525</x:v>
      </x:c>
      <x:c r="I355" s="24" t="n">
        <x:v>0.05</x:v>
      </x:c>
      <x:c r="J355" s="22" t="n">
        <x:v>8340.290215111048</x:v>
      </x:c>
      <x:c r="K355" s="22" t="n">
        <x:v>3391.99725831626</x:v>
      </x:c>
      <x:c r="L355" s="22" t="n">
        <x:v>4948.292956794789</x:v>
      </x:c>
      <x:c r="M355" s="24" t="n">
        <x:v>0.5932998527832288</x:v>
      </x:c>
    </x:row>
    <x:row r="356">
      <x:c r="A356" t="n">
        <x:v>10353</x:v>
      </x:c>
      <x:c r="B356" s="20" t="n">
        <x:v>46317</x:v>
      </x:c>
      <x:c r="C356" t="str">
        <x:v>Customer 26</x:v>
      </x:c>
      <x:c r="D356" t="str">
        <x:v>Enterprise</x:v>
      </x:c>
      <x:c r="E356" t="str">
        <x:v>West</x:v>
      </x:c>
      <x:c r="F356" t="str">
        <x:v>Finance Cloud</x:v>
      </x:c>
      <x:c r="G356" t="n">
        <x:v>46</x:v>
      </x:c>
      <x:c r="H356" s="22" t="n">
        <x:v>739.3989665570971</x:v>
      </x:c>
      <x:c r="I356" s="24" t="n">
        <x:v>0.02</x:v>
      </x:c>
      <x:c r="J356" s="22" t="n">
        <x:v>33332.10541239393</x:v>
      </x:c>
      <x:c r="K356" s="22" t="n">
        <x:v>10446.016776383849</x:v>
      </x:c>
      <x:c r="L356" s="22" t="n">
        <x:v>22886.088636010085</x:v>
      </x:c>
      <x:c r="M356" s="24" t="n">
        <x:v>0.6866079520887485</x:v>
      </x:c>
    </x:row>
    <x:row r="357">
      <x:c r="A357" t="n">
        <x:v>10354</x:v>
      </x:c>
      <x:c r="B357" s="20" t="n">
        <x:v>46320</x:v>
      </x:c>
      <x:c r="C357" t="str">
        <x:v>Customer 03</x:v>
      </x:c>
      <x:c r="D357" t="str">
        <x:v>Mid-Market</x:v>
      </x:c>
      <x:c r="E357" t="str">
        <x:v>Northeast</x:v>
      </x:c>
      <x:c r="F357" t="str">
        <x:v>Analytics Pro</x:v>
      </x:c>
      <x:c r="G357" t="n">
        <x:v>48</x:v>
      </x:c>
      <x:c r="H357" s="22" t="n">
        <x:v>486.7888966383343</x:v>
      </x:c>
      <x:c r="I357" s="24" t="n">
        <x:v>0.05</x:v>
      </x:c>
      <x:c r="J357" s="22" t="n">
        <x:v>22197.57368670804</x:v>
      </x:c>
      <x:c r="K357" s="22" t="n">
        <x:v>8392.547425837436</x:v>
      </x:c>
      <x:c r="L357" s="22" t="n">
        <x:v>13805.026260870605</x:v>
      </x:c>
      <x:c r="M357" s="24" t="n">
        <x:v>0.6219160010779505</x:v>
      </x:c>
    </x:row>
    <x:row r="358">
      <x:c r="A358" t="n">
        <x:v>10355</x:v>
      </x:c>
      <x:c r="B358" s="20" t="n">
        <x:v>46296</x:v>
      </x:c>
      <x:c r="C358" t="str">
        <x:v>Customer 10</x:v>
      </x:c>
      <x:c r="D358" t="str">
        <x:v>SMB</x:v>
      </x:c>
      <x:c r="E358" t="str">
        <x:v>Midwest</x:v>
      </x:c>
      <x:c r="F358" t="str">
        <x:v>Data Connect</x:v>
      </x:c>
      <x:c r="G358" t="n">
        <x:v>14</x:v>
      </x:c>
      <x:c r="H358" s="22" t="n">
        <x:v>264.8699260984598</x:v>
      </x:c>
      <x:c r="I358" s="24" t="n">
        <x:v>0.02</x:v>
      </x:c>
      <x:c r="J358" s="22" t="n">
        <x:v>3634.0153860708683</x:v>
      </x:c>
      <x:c r="K358" s="22" t="n">
        <x:v>1765.5666134707728</x:v>
      </x:c>
      <x:c r="L358" s="22" t="n">
        <x:v>1868.4487726000955</x:v>
      </x:c>
      <x:c r="M358" s="24" t="n">
        <x:v>0.514155438020938</x:v>
      </x:c>
    </x:row>
    <x:row r="359">
      <x:c r="A359" t="n">
        <x:v>10356</x:v>
      </x:c>
      <x:c r="B359" s="20" t="n">
        <x:v>46299</x:v>
      </x:c>
      <x:c r="C359" t="str">
        <x:v>Customer 17</x:v>
      </x:c>
      <x:c r="D359" t="str">
        <x:v>Enterprise</x:v>
      </x:c>
      <x:c r="E359" t="str">
        <x:v>South</x:v>
      </x:c>
      <x:c r="F359" t="str">
        <x:v>Reporting Suite</x:v>
      </x:c>
      <x:c r="G359" t="n">
        <x:v>52</x:v>
      </x:c>
      <x:c r="H359" s="22" t="n">
        <x:v>353.32752745228134</x:v>
      </x:c>
      <x:c r="I359" s="24" t="n">
        <x:v>0.02</x:v>
      </x:c>
      <x:c r="J359" s="22" t="n">
        <x:v>18005.570798968256</x:v>
      </x:c>
      <x:c r="K359" s="22" t="n">
        <x:v>7898.14535955565</x:v>
      </x:c>
      <x:c r="L359" s="22" t="n">
        <x:v>10107.425439412606</x:v>
      </x:c>
      <x:c r="M359" s="24" t="n">
        <x:v>0.5613499039970327</x:v>
      </x:c>
    </x:row>
    <x:row r="360">
      <x:c r="A360" t="n">
        <x:v>10357</x:v>
      </x:c>
      <x:c r="B360" s="20" t="n">
        <x:v>46302</x:v>
      </x:c>
      <x:c r="C360" t="str">
        <x:v>Customer 24</x:v>
      </x:c>
      <x:c r="D360" t="str">
        <x:v>Mid-Market</x:v>
      </x:c>
      <x:c r="E360" t="str">
        <x:v>West</x:v>
      </x:c>
      <x:c r="F360" t="str">
        <x:v>Finance Cloud</x:v>
      </x:c>
      <x:c r="G360" t="n">
        <x:v>36</x:v>
      </x:c>
      <x:c r="H360" s="22" t="n">
        <x:v>703.9499987466604</x:v>
      </x:c>
      <x:c r="I360" s="24" t="n">
        <x:v>0</x:v>
      </x:c>
      <x:c r="J360" s="22" t="n">
        <x:v>25342.199954879776</x:v>
      </x:c>
      <x:c r="K360" s="22" t="n">
        <x:v>8377.372277201863</x:v>
      </x:c>
      <x:c r="L360" s="22" t="n">
        <x:v>16964.827677677913</x:v>
      </x:c>
      <x:c r="M360" s="24" t="n">
        <x:v>0.6694299511440499</x:v>
      </x:c>
    </x:row>
    <x:row r="361">
      <x:c r="A361" t="n">
        <x:v>10358</x:v>
      </x:c>
      <x:c r="B361" s="20" t="n">
        <x:v>46305</x:v>
      </x:c>
      <x:c r="C361" t="str">
        <x:v>Customer 01</x:v>
      </x:c>
      <x:c r="D361" t="str">
        <x:v>SMB</x:v>
      </x:c>
      <x:c r="E361" t="str">
        <x:v>Northeast</x:v>
      </x:c>
      <x:c r="F361" t="str">
        <x:v>Analytics Pro</x:v>
      </x:c>
      <x:c r="G361" t="n">
        <x:v>18</x:v>
      </x:c>
      <x:c r="H361" s="22" t="n">
        <x:v>462.88201644590987</x:v>
      </x:c>
      <x:c r="I361" s="24" t="n">
        <x:v>0</x:v>
      </x:c>
      <x:c r="J361" s="22" t="n">
        <x:v>8331.876296026378</x:v>
      </x:c>
      <x:c r="K361" s="22" t="n">
        <x:v>3076.571573575102</x:v>
      </x:c>
      <x:c r="L361" s="22" t="n">
        <x:v>5255.304722451276</x:v>
      </x:c>
      <x:c r="M361" s="24" t="n">
        <x:v>0.6307468492970335</x:v>
      </x:c>
    </x:row>
    <x:row r="362">
      <x:c r="A362" t="n">
        <x:v>10359</x:v>
      </x:c>
      <x:c r="B362" s="20" t="n">
        <x:v>46308</x:v>
      </x:c>
      <x:c r="C362" t="str">
        <x:v>Customer 08</x:v>
      </x:c>
      <x:c r="D362" t="str">
        <x:v>Enterprise</x:v>
      </x:c>
      <x:c r="E362" t="str">
        <x:v>Midwest</x:v>
      </x:c>
      <x:c r="F362" t="str">
        <x:v>Data Connect</x:v>
      </x:c>
      <x:c r="G362" t="n">
        <x:v>45</x:v>
      </x:c>
      <x:c r="H362" s="22" t="n">
        <x:v>276.8401007004307</x:v>
      </x:c>
      <x:c r="I362" s="24" t="n">
        <x:v>0.02</x:v>
      </x:c>
      <x:c r="J362" s="22" t="n">
        <x:v>12208.648440888994</x:v>
      </x:c>
      <x:c r="K362" s="22" t="n">
        <x:v>5940.146417486002</x:v>
      </x:c>
      <x:c r="L362" s="22" t="n">
        <x:v>6268.502023402992</x:v>
      </x:c>
      <x:c r="M362" s="24" t="n">
        <x:v>0.5134476640680907</x:v>
      </x:c>
    </x:row>
    <x:row r="363">
      <x:c r="A363" t="n">
        <x:v>10360</x:v>
      </x:c>
      <x:c r="B363" s="20" t="n">
        <x:v>46311</x:v>
      </x:c>
      <x:c r="C363" t="str">
        <x:v>Customer 15</x:v>
      </x:c>
      <x:c r="D363" t="str">
        <x:v>Mid-Market</x:v>
      </x:c>
      <x:c r="E363" t="str">
        <x:v>South</x:v>
      </x:c>
      <x:c r="F363" t="str">
        <x:v>Reporting Suite</x:v>
      </x:c>
      <x:c r="G363" t="n">
        <x:v>21</x:v>
      </x:c>
      <x:c r="H363" s="22" t="n">
        <x:v>324.2929192704501</x:v>
      </x:c>
      <x:c r="I363" s="24" t="n">
        <x:v>0.02</x:v>
      </x:c>
      <x:c r="J363" s="22" t="n">
        <x:v>6673.948278585864</x:v>
      </x:c>
      <x:c r="K363" s="22" t="n">
        <x:v>2908.7413344680303</x:v>
      </x:c>
      <x:c r="L363" s="22" t="n">
        <x:v>3765.2069441178332</x:v>
      </x:c>
      <x:c r="M363" s="24" t="n">
        <x:v>0.564164837207225</x:v>
      </x:c>
    </x:row>
    <x:row r="364">
      <x:c r="A364" t="n">
        <x:v>10361</x:v>
      </x:c>
      <x:c r="B364" s="20" t="n">
        <x:v>46314</x:v>
      </x:c>
      <x:c r="C364" t="str">
        <x:v>Customer 22</x:v>
      </x:c>
      <x:c r="D364" t="str">
        <x:v>SMB</x:v>
      </x:c>
      <x:c r="E364" t="str">
        <x:v>West</x:v>
      </x:c>
      <x:c r="F364" t="str">
        <x:v>Finance Cloud</x:v>
      </x:c>
      <x:c r="G364" t="n">
        <x:v>29</x:v>
      </x:c>
      <x:c r="H364" s="22" t="n">
        <x:v>707.6981545192708</x:v>
      </x:c>
      <x:c r="I364" s="24" t="n">
        <x:v>0.05</x:v>
      </x:c>
      <x:c r="J364" s="22" t="n">
        <x:v>19497.08415700591</x:v>
      </x:c>
      <x:c r="K364" s="22" t="n">
        <x:v>6241.02357444623</x:v>
      </x:c>
      <x:c r="L364" s="22" t="n">
        <x:v>13256.06058255968</x:v>
      </x:c>
      <x:c r="M364" s="24" t="n">
        <x:v>0.6798996442653382</x:v>
      </x:c>
    </x:row>
    <x:row r="365">
      <x:c r="A365" t="n">
        <x:v>10362</x:v>
      </x:c>
      <x:c r="B365" s="20" t="n">
        <x:v>46317</x:v>
      </x:c>
      <x:c r="C365" t="str">
        <x:v>Customer 29</x:v>
      </x:c>
      <x:c r="D365" t="str">
        <x:v>Enterprise</x:v>
      </x:c>
      <x:c r="E365" t="str">
        <x:v>Northeast</x:v>
      </x:c>
      <x:c r="F365" t="str">
        <x:v>Analytics Pro</x:v>
      </x:c>
      <x:c r="G365" t="n">
        <x:v>32</x:v>
      </x:c>
      <x:c r="H365" s="22" t="n">
        <x:v>447.3515364149888</x:v>
      </x:c>
      <x:c r="I365" s="24" t="n">
        <x:v>0</x:v>
      </x:c>
      <x:c r="J365" s="22" t="n">
        <x:v>14315.249165279642</x:v>
      </x:c>
      <x:c r="K365" s="22" t="n">
        <x:v>5350.261870434096</x:v>
      </x:c>
      <x:c r="L365" s="22" t="n">
        <x:v>8964.987294845545</x:v>
      </x:c>
      <x:c r="M365" s="24" t="n">
        <x:v>0.6262543663291116</x:v>
      </x:c>
    </x:row>
    <x:row r="366">
      <x:c r="A366" t="n">
        <x:v>10363</x:v>
      </x:c>
      <x:c r="B366" s="20" t="n">
        <x:v>46320</x:v>
      </x:c>
      <x:c r="C366" t="str">
        <x:v>Customer 06</x:v>
      </x:c>
      <x:c r="D366" t="str">
        <x:v>Mid-Market</x:v>
      </x:c>
      <x:c r="E366" t="str">
        <x:v>Midwest</x:v>
      </x:c>
      <x:c r="F366" t="str">
        <x:v>Data Connect</x:v>
      </x:c>
      <x:c r="G366" t="n">
        <x:v>46</x:v>
      </x:c>
      <x:c r="H366" s="22" t="n">
        <x:v>274.74510479153565</x:v>
      </x:c>
      <x:c r="I366" s="24" t="n">
        <x:v>0.03</x:v>
      </x:c>
      <x:c r="J366" s="22" t="n">
        <x:v>12259.12657579832</x:v>
      </x:c>
      <x:c r="K366" s="22" t="n">
        <x:v>5940.39309645675</x:v>
      </x:c>
      <x:c r="L366" s="22" t="n">
        <x:v>6318.73347934157</x:v>
      </x:c>
      <x:c r="M366" s="24" t="n">
        <x:v>0.5154309681258913</x:v>
      </x:c>
    </x:row>
    <x:row r="367">
      <x:c r="A367" t="n">
        <x:v>10364</x:v>
      </x:c>
      <x:c r="B367" s="20" t="n">
        <x:v>46296</x:v>
      </x:c>
      <x:c r="C367" t="str">
        <x:v>Customer 13</x:v>
      </x:c>
      <x:c r="D367" t="str">
        <x:v>SMB</x:v>
      </x:c>
      <x:c r="E367" t="str">
        <x:v>South</x:v>
      </x:c>
      <x:c r="F367" t="str">
        <x:v>Reporting Suite</x:v>
      </x:c>
      <x:c r="G367" t="n">
        <x:v>19</x:v>
      </x:c>
      <x:c r="H367" s="22" t="n">
        <x:v>326.17057512974264</x:v>
      </x:c>
      <x:c r="I367" s="24" t="n">
        <x:v>0.03</x:v>
      </x:c>
      <x:c r="J367" s="22" t="n">
        <x:v>6011.323699641156</x:v>
      </x:c>
      <x:c r="K367" s="22" t="n">
        <x:v>2650.2111287770467</x:v>
      </x:c>
      <x:c r="L367" s="22" t="n">
        <x:v>3361.1125708641093</x:v>
      </x:c>
      <x:c r="M367" s="24" t="n">
        <x:v>0.5591301914193624</x:v>
      </x:c>
    </x:row>
    <x:row r="368">
      <x:c r="A368" t="n">
        <x:v>10365</x:v>
      </x:c>
      <x:c r="B368" s="20" t="n">
        <x:v>46299</x:v>
      </x:c>
      <x:c r="C368" t="str">
        <x:v>Customer 20</x:v>
      </x:c>
      <x:c r="D368" t="str">
        <x:v>Enterprise</x:v>
      </x:c>
      <x:c r="E368" t="str">
        <x:v>West</x:v>
      </x:c>
      <x:c r="F368" t="str">
        <x:v>Finance Cloud</x:v>
      </x:c>
      <x:c r="G368" t="n">
        <x:v>30</x:v>
      </x:c>
      <x:c r="H368" s="22" t="n">
        <x:v>737.2085710788891</x:v>
      </x:c>
      <x:c r="I368" s="24" t="n">
        <x:v>0.05</x:v>
      </x:c>
      <x:c r="J368" s="22" t="n">
        <x:v>21010.44427574834</x:v>
      </x:c>
      <x:c r="K368" s="22" t="n">
        <x:v>6669.346874901889</x:v>
      </x:c>
      <x:c r="L368" s="22" t="n">
        <x:v>14341.097400846451</x:v>
      </x:c>
      <x:c r="M368" s="24" t="n">
        <x:v>0.6825699263008876</x:v>
      </x:c>
    </x:row>
    <x:row r="369">
      <x:c r="A369" t="n">
        <x:v>10366</x:v>
      </x:c>
      <x:c r="B369" s="20" t="n">
        <x:v>46327</x:v>
      </x:c>
      <x:c r="C369" t="str">
        <x:v>Customer 04</x:v>
      </x:c>
      <x:c r="D369" t="str">
        <x:v>Mid-Market</x:v>
      </x:c>
      <x:c r="E369" t="str">
        <x:v>West</x:v>
      </x:c>
      <x:c r="F369" t="str">
        <x:v>Data Connect</x:v>
      </x:c>
      <x:c r="G369" t="n">
        <x:v>30</x:v>
      </x:c>
      <x:c r="H369" s="22" t="n">
        <x:v>250.58387030743404</x:v>
      </x:c>
      <x:c r="I369" s="24" t="n">
        <x:v>0</x:v>
      </x:c>
      <x:c r="J369" s="22" t="n">
        <x:v>7517.516109223021</x:v>
      </x:c>
      <x:c r="K369" s="22" t="n">
        <x:v>3352.4377691520463</x:v>
      </x:c>
      <x:c r="L369" s="22" t="n">
        <x:v>4165.078340070975</x:v>
      </x:c>
      <x:c r="M369" s="24" t="n">
        <x:v>0.5540498057544515</x:v>
      </x:c>
    </x:row>
    <x:row r="370">
      <x:c r="A370" t="n">
        <x:v>10367</x:v>
      </x:c>
      <x:c r="B370" s="20" t="n">
        <x:v>46330</x:v>
      </x:c>
      <x:c r="C370" t="str">
        <x:v>Customer 11</x:v>
      </x:c>
      <x:c r="D370" t="str">
        <x:v>SMB</x:v>
      </x:c>
      <x:c r="E370" t="str">
        <x:v>Northeast</x:v>
      </x:c>
      <x:c r="F370" t="str">
        <x:v>Reporting Suite</x:v>
      </x:c>
      <x:c r="G370" t="n">
        <x:v>16</x:v>
      </x:c>
      <x:c r="H370" s="22" t="n">
        <x:v>362.27780990020176</x:v>
      </x:c>
      <x:c r="I370" s="24" t="n">
        <x:v>0.08</x:v>
      </x:c>
      <x:c r="J370" s="22" t="n">
        <x:v>5332.72936173097</x:v>
      </x:c>
      <x:c r="K370" s="22" t="n">
        <x:v>2247.1512281700884</x:v>
      </x:c>
      <x:c r="L370" s="22" t="n">
        <x:v>3085.5781335608813</x:v>
      </x:c>
      <x:c r="M370" s="24" t="n">
        <x:v>0.5786114247056637</x:v>
      </x:c>
    </x:row>
    <x:row r="371">
      <x:c r="A371" t="n">
        <x:v>10368</x:v>
      </x:c>
      <x:c r="B371" s="20" t="n">
        <x:v>46333</x:v>
      </x:c>
      <x:c r="C371" t="str">
        <x:v>Customer 18</x:v>
      </x:c>
      <x:c r="D371" t="str">
        <x:v>Enterprise</x:v>
      </x:c>
      <x:c r="E371" t="str">
        <x:v>Midwest</x:v>
      </x:c>
      <x:c r="F371" t="str">
        <x:v>Finance Cloud</x:v>
      </x:c>
      <x:c r="G371" t="n">
        <x:v>49</x:v>
      </x:c>
      <x:c r="H371" s="22" t="n">
        <x:v>687.8365583668726</x:v>
      </x:c>
      <x:c r="I371" s="24" t="n">
        <x:v>0.03</x:v>
      </x:c>
      <x:c r="J371" s="22" t="n">
        <x:v>32692.87161917746</x:v>
      </x:c>
      <x:c r="K371" s="22" t="n">
        <x:v>10032.854198713563</x:v>
      </x:c>
      <x:c r="L371" s="22" t="n">
        <x:v>22660.017420463897</x:v>
      </x:c>
      <x:c r="M371" s="24" t="n">
        <x:v>0.6931179886679534</x:v>
      </x:c>
    </x:row>
    <x:row r="372">
      <x:c r="A372" t="n">
        <x:v>10369</x:v>
      </x:c>
      <x:c r="B372" s="20" t="n">
        <x:v>46336</x:v>
      </x:c>
      <x:c r="C372" t="str">
        <x:v>Customer 25</x:v>
      </x:c>
      <x:c r="D372" t="str">
        <x:v>Mid-Market</x:v>
      </x:c>
      <x:c r="E372" t="str">
        <x:v>South</x:v>
      </x:c>
      <x:c r="F372" t="str">
        <x:v>Analytics Pro</x:v>
      </x:c>
      <x:c r="G372" t="n">
        <x:v>32</x:v>
      </x:c>
      <x:c r="H372" s="22" t="n">
        <x:v>473.9735157046757</x:v>
      </x:c>
      <x:c r="I372" s="24" t="n">
        <x:v>0.08</x:v>
      </x:c>
      <x:c r="J372" s="22" t="n">
        <x:v>13953.780302345654</x:v>
      </x:c>
      <x:c r="K372" s="22" t="n">
        <x:v>5272.51515632049</x:v>
      </x:c>
      <x:c r="L372" s="22" t="n">
        <x:v>8681.265146025165</x:v>
      </x:c>
      <x:c r="M372" s="24" t="n">
        <x:v>0.6221443191681777</x:v>
      </x:c>
    </x:row>
    <x:row r="373">
      <x:c r="A373" t="n">
        <x:v>10370</x:v>
      </x:c>
      <x:c r="B373" s="20" t="n">
        <x:v>46339</x:v>
      </x:c>
      <x:c r="C373" t="str">
        <x:v>Customer 02</x:v>
      </x:c>
      <x:c r="D373" t="str">
        <x:v>SMB</x:v>
      </x:c>
      <x:c r="E373" t="str">
        <x:v>West</x:v>
      </x:c>
      <x:c r="F373" t="str">
        <x:v>Data Connect</x:v>
      </x:c>
      <x:c r="G373" t="n">
        <x:v>20</x:v>
      </x:c>
      <x:c r="H373" s="22" t="n">
        <x:v>253.95990519663124</x:v>
      </x:c>
      <x:c r="I373" s="24" t="n">
        <x:v>0.05</x:v>
      </x:c>
      <x:c r="J373" s="22" t="n">
        <x:v>4825.238198735993</x:v>
      </x:c>
      <x:c r="K373" s="22" t="n">
        <x:v>2291.2013996418736</x:v>
      </x:c>
      <x:c r="L373" s="22" t="n">
        <x:v>2534.0367990941195</x:v>
      </x:c>
      <x:c r="M373" s="24" t="n">
        <x:v>0.5251630478590527</x:v>
      </x:c>
    </x:row>
    <x:row r="374">
      <x:c r="A374" t="n">
        <x:v>10371</x:v>
      </x:c>
      <x:c r="B374" s="20" t="n">
        <x:v>46342</x:v>
      </x:c>
      <x:c r="C374" t="str">
        <x:v>Customer 09</x:v>
      </x:c>
      <x:c r="D374" t="str">
        <x:v>Enterprise</x:v>
      </x:c>
      <x:c r="E374" t="str">
        <x:v>Northeast</x:v>
      </x:c>
      <x:c r="F374" t="str">
        <x:v>Reporting Suite</x:v>
      </x:c>
      <x:c r="G374" t="n">
        <x:v>54</x:v>
      </x:c>
      <x:c r="H374" s="22" t="n">
        <x:v>333.4441094465117</x:v>
      </x:c>
      <x:c r="I374" s="24" t="n">
        <x:v>0.02</x:v>
      </x:c>
      <x:c r="J374" s="22" t="n">
        <x:v>17645.8622719094</x:v>
      </x:c>
      <x:c r="K374" s="22" t="n">
        <x:v>7227.102866401586</x:v>
      </x:c>
      <x:c r="L374" s="22" t="n">
        <x:v>10418.759405507812</x:v>
      </x:c>
      <x:c r="M374" s="24" t="n">
        <x:v>0.590436400611237</x:v>
      </x:c>
    </x:row>
    <x:row r="375">
      <x:c r="A375" t="n">
        <x:v>10372</x:v>
      </x:c>
      <x:c r="B375" s="20" t="n">
        <x:v>46345</x:v>
      </x:c>
      <x:c r="C375" t="str">
        <x:v>Customer 16</x:v>
      </x:c>
      <x:c r="D375" t="str">
        <x:v>Mid-Market</x:v>
      </x:c>
      <x:c r="E375" t="str">
        <x:v>Midwest</x:v>
      </x:c>
      <x:c r="F375" t="str">
        <x:v>Finance Cloud</x:v>
      </x:c>
      <x:c r="G375" t="n">
        <x:v>28</x:v>
      </x:c>
      <x:c r="H375" s="22" t="n">
        <x:v>678.3454402051138</x:v>
      </x:c>
      <x:c r="I375" s="24" t="n">
        <x:v>0.03</x:v>
      </x:c>
      <x:c r="J375" s="22" t="n">
        <x:v>18423.86215597089</x:v>
      </x:c>
      <x:c r="K375" s="22" t="n">
        <x:v>5656.645454782804</x:v>
      </x:c>
      <x:c r="L375" s="22" t="n">
        <x:v>12767.216701188088</x:v>
      </x:c>
      <x:c r="M375" s="24" t="n">
        <x:v>0.6929717880596729</x:v>
      </x:c>
    </x:row>
    <x:row r="376">
      <x:c r="A376" t="n">
        <x:v>10373</x:v>
      </x:c>
      <x:c r="B376" s="20" t="n">
        <x:v>46348</x:v>
      </x:c>
      <x:c r="C376" t="str">
        <x:v>Customer 23</x:v>
      </x:c>
      <x:c r="D376" t="str">
        <x:v>SMB</x:v>
      </x:c>
      <x:c r="E376" t="str">
        <x:v>South</x:v>
      </x:c>
      <x:c r="F376" t="str">
        <x:v>Analytics Pro</x:v>
      </x:c>
      <x:c r="G376" t="n">
        <x:v>5</x:v>
      </x:c>
      <x:c r="H376" s="22" t="n">
        <x:v>443.01758709780745</x:v>
      </x:c>
      <x:c r="I376" s="24" t="n">
        <x:v>0.03</x:v>
      </x:c>
      <x:c r="J376" s="22" t="n">
        <x:v>2148.635297424366</x:v>
      </x:c>
      <x:c r="K376" s="22" t="n">
        <x:v>770.0364396910363</x:v>
      </x:c>
      <x:c r="L376" s="22" t="n">
        <x:v>1378.5988577333296</x:v>
      </x:c>
      <x:c r="M376" s="24" t="n">
        <x:v>0.6416160338545577</x:v>
      </x:c>
    </x:row>
    <x:row r="377">
      <x:c r="A377" t="n">
        <x:v>10374</x:v>
      </x:c>
      <x:c r="B377" s="20" t="n">
        <x:v>46351</x:v>
      </x:c>
      <x:c r="C377" t="str">
        <x:v>Customer 30</x:v>
      </x:c>
      <x:c r="D377" t="str">
        <x:v>Enterprise</x:v>
      </x:c>
      <x:c r="E377" t="str">
        <x:v>West</x:v>
      </x:c>
      <x:c r="F377" t="str">
        <x:v>Data Connect</x:v>
      </x:c>
      <x:c r="G377" t="n">
        <x:v>50</x:v>
      </x:c>
      <x:c r="H377" s="22" t="n">
        <x:v>267.2330683480592</x:v>
      </x:c>
      <x:c r="I377" s="24" t="n">
        <x:v>0.08</x:v>
      </x:c>
      <x:c r="J377" s="22" t="n">
        <x:v>12292.721144010724</x:v>
      </x:c>
      <x:c r="K377" s="22" t="n">
        <x:v>5953.618286522602</x:v>
      </x:c>
      <x:c r="L377" s="22" t="n">
        <x:v>6339.102857488122</x:v>
      </x:c>
      <x:c r="M377" s="24" t="n">
        <x:v>0.5156793832077341</x:v>
      </x:c>
    </x:row>
    <x:row r="378">
      <x:c r="A378" t="n">
        <x:v>10375</x:v>
      </x:c>
      <x:c r="B378" s="20" t="n">
        <x:v>46327</x:v>
      </x:c>
      <x:c r="C378" t="str">
        <x:v>Customer 07</x:v>
      </x:c>
      <x:c r="D378" t="str">
        <x:v>Mid-Market</x:v>
      </x:c>
      <x:c r="E378" t="str">
        <x:v>Northeast</x:v>
      </x:c>
      <x:c r="F378" t="str">
        <x:v>Reporting Suite</x:v>
      </x:c>
      <x:c r="G378" t="n">
        <x:v>26</x:v>
      </x:c>
      <x:c r="H378" s="22" t="n">
        <x:v>359.51560175967825</x:v>
      </x:c>
      <x:c r="I378" s="24" t="n">
        <x:v>0</x:v>
      </x:c>
      <x:c r="J378" s="22" t="n">
        <x:v>9347.405645751634</x:v>
      </x:c>
      <x:c r="K378" s="22" t="n">
        <x:v>3989.31886732256</x:v>
      </x:c>
      <x:c r="L378" s="22" t="n">
        <x:v>5358.086778429075</x:v>
      </x:c>
      <x:c r="M378" s="24" t="n">
        <x:v>0.5732164604265685</x:v>
      </x:c>
    </x:row>
    <x:row r="379">
      <x:c r="A379" t="n">
        <x:v>10376</x:v>
      </x:c>
      <x:c r="B379" s="20" t="n">
        <x:v>46330</x:v>
      </x:c>
      <x:c r="C379" t="str">
        <x:v>Customer 14</x:v>
      </x:c>
      <x:c r="D379" t="str">
        <x:v>SMB</x:v>
      </x:c>
      <x:c r="E379" t="str">
        <x:v>Midwest</x:v>
      </x:c>
      <x:c r="F379" t="str">
        <x:v>Finance Cloud</x:v>
      </x:c>
      <x:c r="G379" t="n">
        <x:v>15</x:v>
      </x:c>
      <x:c r="H379" s="22" t="n">
        <x:v>763.1483932045142</x:v>
      </x:c>
      <x:c r="I379" s="24" t="n">
        <x:v>0.03</x:v>
      </x:c>
      <x:c r="J379" s="22" t="n">
        <x:v>11103.809121125681</x:v>
      </x:c>
      <x:c r="K379" s="22" t="n">
        <x:v>3690.526730020169</x:v>
      </x:c>
      <x:c r="L379" s="22" t="n">
        <x:v>7413.282391105513</x:v>
      </x:c>
      <x:c r="M379" s="24" t="n">
        <x:v>0.6676341704218678</x:v>
      </x:c>
    </x:row>
    <x:row r="380">
      <x:c r="A380" t="n">
        <x:v>10377</x:v>
      </x:c>
      <x:c r="B380" s="20" t="n">
        <x:v>46333</x:v>
      </x:c>
      <x:c r="C380" t="str">
        <x:v>Customer 21</x:v>
      </x:c>
      <x:c r="D380" t="str">
        <x:v>Enterprise</x:v>
      </x:c>
      <x:c r="E380" t="str">
        <x:v>South</x:v>
      </x:c>
      <x:c r="F380" t="str">
        <x:v>Analytics Pro</x:v>
      </x:c>
      <x:c r="G380" t="n">
        <x:v>43</x:v>
      </x:c>
      <x:c r="H380" s="22" t="n">
        <x:v>451.7175487138306</x:v>
      </x:c>
      <x:c r="I380" s="24" t="n">
        <x:v>0</x:v>
      </x:c>
      <x:c r="J380" s="22" t="n">
        <x:v>19423.854594694716</x:v>
      </x:c>
      <x:c r="K380" s="22" t="n">
        <x:v>7644.744906632478</x:v>
      </x:c>
      <x:c r="L380" s="22" t="n">
        <x:v>11779.109688062239</x:v>
      </x:c>
      <x:c r="M380" s="24" t="n">
        <x:v>0.6064249312945071</x:v>
      </x:c>
    </x:row>
    <x:row r="381">
      <x:c r="A381" t="n">
        <x:v>10378</x:v>
      </x:c>
      <x:c r="B381" s="20" t="n">
        <x:v>46336</x:v>
      </x:c>
      <x:c r="C381" t="str">
        <x:v>Customer 28</x:v>
      </x:c>
      <x:c r="D381" t="str">
        <x:v>Mid-Market</x:v>
      </x:c>
      <x:c r="E381" t="str">
        <x:v>West</x:v>
      </x:c>
      <x:c r="F381" t="str">
        <x:v>Data Connect</x:v>
      </x:c>
      <x:c r="G381" t="n">
        <x:v>30</x:v>
      </x:c>
      <x:c r="H381" s="22" t="n">
        <x:v>273.91845753048</x:v>
      </x:c>
      <x:c r="I381" s="24" t="n">
        <x:v>0.03</x:v>
      </x:c>
      <x:c r="J381" s="22" t="n">
        <x:v>7971.027114136968</x:v>
      </x:c>
      <x:c r="K381" s="22" t="n">
        <x:v>3600.2776386936944</x:v>
      </x:c>
      <x:c r="L381" s="22" t="n">
        <x:v>4370.749475443274</x:v>
      </x:c>
      <x:c r="M381" s="24" t="n">
        <x:v>0.5483295205070319</x:v>
      </x:c>
    </x:row>
    <x:row r="382">
      <x:c r="A382" t="n">
        <x:v>10379</x:v>
      </x:c>
      <x:c r="B382" s="20" t="n">
        <x:v>46339</x:v>
      </x:c>
      <x:c r="C382" t="str">
        <x:v>Customer 05</x:v>
      </x:c>
      <x:c r="D382" t="str">
        <x:v>SMB</x:v>
      </x:c>
      <x:c r="E382" t="str">
        <x:v>Northeast</x:v>
      </x:c>
      <x:c r="F382" t="str">
        <x:v>Reporting Suite</x:v>
      </x:c>
      <x:c r="G382" t="n">
        <x:v>11</x:v>
      </x:c>
      <x:c r="H382" s="22" t="n">
        <x:v>349.9963165842427</x:v>
      </x:c>
      <x:c r="I382" s="24" t="n">
        <x:v>0.05</x:v>
      </x:c>
      <x:c r="J382" s="22" t="n">
        <x:v>3657.4615083053363</x:v>
      </x:c>
      <x:c r="K382" s="22" t="n">
        <x:v>1624.0627167121127</x:v>
      </x:c>
      <x:c r="L382" s="22" t="n">
        <x:v>2033.3987915932237</x:v>
      </x:c>
      <x:c r="M382" s="24" t="n">
        <x:v>0.5559590407105576</x:v>
      </x:c>
    </x:row>
    <x:row r="383">
      <x:c r="A383" t="n">
        <x:v>10380</x:v>
      </x:c>
      <x:c r="B383" s="20" t="n">
        <x:v>46342</x:v>
      </x:c>
      <x:c r="C383" t="str">
        <x:v>Customer 12</x:v>
      </x:c>
      <x:c r="D383" t="str">
        <x:v>Enterprise</x:v>
      </x:c>
      <x:c r="E383" t="str">
        <x:v>Midwest</x:v>
      </x:c>
      <x:c r="F383" t="str">
        <x:v>Finance Cloud</x:v>
      </x:c>
      <x:c r="G383" t="n">
        <x:v>50</x:v>
      </x:c>
      <x:c r="H383" s="22" t="n">
        <x:v>719.6412288386799</x:v>
      </x:c>
      <x:c r="I383" s="24" t="n">
        <x:v>0.02</x:v>
      </x:c>
      <x:c r="J383" s="22" t="n">
        <x:v>35262.42021309532</x:v>
      </x:c>
      <x:c r="K383" s="22" t="n">
        <x:v>11833.182575826271</x:v>
      </x:c>
      <x:c r="L383" s="22" t="n">
        <x:v>23429.23763726905</x:v>
      </x:c>
      <x:c r="M383" s="24" t="n">
        <x:v>0.6644251159076197</x:v>
      </x:c>
    </x:row>
    <x:row r="384">
      <x:c r="A384" t="n">
        <x:v>10381</x:v>
      </x:c>
      <x:c r="B384" s="20" t="n">
        <x:v>46345</x:v>
      </x:c>
      <x:c r="C384" t="str">
        <x:v>Customer 19</x:v>
      </x:c>
      <x:c r="D384" t="str">
        <x:v>Mid-Market</x:v>
      </x:c>
      <x:c r="E384" t="str">
        <x:v>South</x:v>
      </x:c>
      <x:c r="F384" t="str">
        <x:v>Analytics Pro</x:v>
      </x:c>
      <x:c r="G384" t="n">
        <x:v>40</x:v>
      </x:c>
      <x:c r="H384" s="22" t="n">
        <x:v>463.83242628071474</x:v>
      </x:c>
      <x:c r="I384" s="24" t="n">
        <x:v>0.03</x:v>
      </x:c>
      <x:c r="J384" s="22" t="n">
        <x:v>17996.698139691733</x:v>
      </x:c>
      <x:c r="K384" s="22" t="n">
        <x:v>6570.226451878708</x:v>
      </x:c>
      <x:c r="L384" s="22" t="n">
        <x:v>11426.471687813024</x:v>
      </x:c>
      <x:c r="M384" s="24" t="n">
        <x:v>0.6349204503581649</x:v>
      </x:c>
    </x:row>
    <x:row r="385">
      <x:c r="A385" t="n">
        <x:v>10382</x:v>
      </x:c>
      <x:c r="B385" s="20" t="n">
        <x:v>46348</x:v>
      </x:c>
      <x:c r="C385" t="str">
        <x:v>Customer 26</x:v>
      </x:c>
      <x:c r="D385" t="str">
        <x:v>SMB</x:v>
      </x:c>
      <x:c r="E385" t="str">
        <x:v>West</x:v>
      </x:c>
      <x:c r="F385" t="str">
        <x:v>Data Connect</x:v>
      </x:c>
      <x:c r="G385" t="n">
        <x:v>21</x:v>
      </x:c>
      <x:c r="H385" s="22" t="n">
        <x:v>275.7061793285061</x:v>
      </x:c>
      <x:c r="I385" s="24" t="n">
        <x:v>0</x:v>
      </x:c>
      <x:c r="J385" s="22" t="n">
        <x:v>5789.8297658986285</x:v>
      </x:c>
      <x:c r="K385" s="22" t="n">
        <x:v>2667.8365494707436</x:v>
      </x:c>
      <x:c r="L385" s="22" t="n">
        <x:v>3121.993216427885</x:v>
      </x:c>
      <x:c r="M385" s="24" t="n">
        <x:v>0.5392202089975138</x:v>
      </x:c>
    </x:row>
    <x:row r="386">
      <x:c r="A386" t="n">
        <x:v>10383</x:v>
      </x:c>
      <x:c r="B386" s="20" t="n">
        <x:v>46351</x:v>
      </x:c>
      <x:c r="C386" t="str">
        <x:v>Customer 03</x:v>
      </x:c>
      <x:c r="D386" t="str">
        <x:v>Enterprise</x:v>
      </x:c>
      <x:c r="E386" t="str">
        <x:v>Northeast</x:v>
      </x:c>
      <x:c r="F386" t="str">
        <x:v>Reporting Suite</x:v>
      </x:c>
      <x:c r="G386" t="n">
        <x:v>42</x:v>
      </x:c>
      <x:c r="H386" s="22" t="n">
        <x:v>357.1237478824468</x:v>
      </x:c>
      <x:c r="I386" s="24" t="n">
        <x:v>0.05</x:v>
      </x:c>
      <x:c r="J386" s="22" t="n">
        <x:v>14249.237540509628</x:v>
      </x:c>
      <x:c r="K386" s="22" t="n">
        <x:v>5808.925229133952</x:v>
      </x:c>
      <x:c r="L386" s="22" t="n">
        <x:v>8440.312311375677</x:v>
      </x:c>
      <x:c r="M386" s="24" t="n">
        <x:v>0.5923343117398692</x:v>
      </x:c>
    </x:row>
    <x:row r="387">
      <x:c r="A387" t="n">
        <x:v>10384</x:v>
      </x:c>
      <x:c r="B387" s="20" t="n">
        <x:v>46327</x:v>
      </x:c>
      <x:c r="C387" t="str">
        <x:v>Customer 10</x:v>
      </x:c>
      <x:c r="D387" t="str">
        <x:v>Mid-Market</x:v>
      </x:c>
      <x:c r="E387" t="str">
        <x:v>Midwest</x:v>
      </x:c>
      <x:c r="F387" t="str">
        <x:v>Finance Cloud</x:v>
      </x:c>
      <x:c r="G387" t="n">
        <x:v>35</x:v>
      </x:c>
      <x:c r="H387" s="22" t="n">
        <x:v>743.4299277513373</x:v>
      </x:c>
      <x:c r="I387" s="24" t="n">
        <x:v>0.02</x:v>
      </x:c>
      <x:c r="J387" s="22" t="n">
        <x:v>25499.64652187087</x:v>
      </x:c>
      <x:c r="K387" s="22" t="n">
        <x:v>7887.182059082927</x:v>
      </x:c>
      <x:c r="L387" s="22" t="n">
        <x:v>17612.464462787942</x:v>
      </x:c>
      <x:c r="M387" s="24" t="n">
        <x:v>0.6906944552224226</x:v>
      </x:c>
    </x:row>
    <x:row r="388">
      <x:c r="A388" t="n">
        <x:v>10385</x:v>
      </x:c>
      <x:c r="B388" s="20" t="n">
        <x:v>46330</x:v>
      </x:c>
      <x:c r="C388" t="str">
        <x:v>Customer 17</x:v>
      </x:c>
      <x:c r="D388" t="str">
        <x:v>SMB</x:v>
      </x:c>
      <x:c r="E388" t="str">
        <x:v>South</x:v>
      </x:c>
      <x:c r="F388" t="str">
        <x:v>Analytics Pro</x:v>
      </x:c>
      <x:c r="G388" t="n">
        <x:v>17</x:v>
      </x:c>
      <x:c r="H388" s="22" t="n">
        <x:v>474.9122356266469</x:v>
      </x:c>
      <x:c r="I388" s="24" t="n">
        <x:v>0.03</x:v>
      </x:c>
      <x:c r="J388" s="22" t="n">
        <x:v>7831.302765483408</x:v>
      </x:c>
      <x:c r="K388" s="22" t="n">
        <x:v>2828.8525555615</x:v>
      </x:c>
      <x:c r="L388" s="22" t="n">
        <x:v>5002.450209921908</x:v>
      </x:c>
      <x:c r="M388" s="24" t="n">
        <x:v>0.6387762495877809</x:v>
      </x:c>
    </x:row>
    <x:row r="389">
      <x:c r="A389" t="n">
        <x:v>10386</x:v>
      </x:c>
      <x:c r="B389" s="20" t="n">
        <x:v>46333</x:v>
      </x:c>
      <x:c r="C389" t="str">
        <x:v>Customer 24</x:v>
      </x:c>
      <x:c r="D389" t="str">
        <x:v>Enterprise</x:v>
      </x:c>
      <x:c r="E389" t="str">
        <x:v>West</x:v>
      </x:c>
      <x:c r="F389" t="str">
        <x:v>Data Connect</x:v>
      </x:c>
      <x:c r="G389" t="n">
        <x:v>43</x:v>
      </x:c>
      <x:c r="H389" s="22" t="n">
        <x:v>262.1808369644915</x:v>
      </x:c>
      <x:c r="I389" s="24" t="n">
        <x:v>0.05</x:v>
      </x:c>
      <x:c r="J389" s="22" t="n">
        <x:v>10710.087189999478</x:v>
      </x:c>
      <x:c r="K389" s="22" t="n">
        <x:v>5164.033316305447</x:v>
      </x:c>
      <x:c r="L389" s="22" t="n">
        <x:v>5546.053873694031</x:v>
      </x:c>
      <x:c r="M389" s="24" t="n">
        <x:v>0.5178346147240189</x:v>
      </x:c>
    </x:row>
    <x:row r="390">
      <x:c r="A390" t="n">
        <x:v>10387</x:v>
      </x:c>
      <x:c r="B390" s="20" t="n">
        <x:v>46336</x:v>
      </x:c>
      <x:c r="C390" t="str">
        <x:v>Customer 01</x:v>
      </x:c>
      <x:c r="D390" t="str">
        <x:v>Mid-Market</x:v>
      </x:c>
      <x:c r="E390" t="str">
        <x:v>Northeast</x:v>
      </x:c>
      <x:c r="F390" t="str">
        <x:v>Reporting Suite</x:v>
      </x:c>
      <x:c r="G390" t="n">
        <x:v>34</x:v>
      </x:c>
      <x:c r="H390" s="22" t="n">
        <x:v>363.66099424354775</x:v>
      </x:c>
      <x:c r="I390" s="24" t="n">
        <x:v>0.05</x:v>
      </x:c>
      <x:c r="J390" s="22" t="n">
        <x:v>11746.250114066592</x:v>
      </x:c>
      <x:c r="K390" s="22" t="n">
        <x:v>5046.229274689976</x:v>
      </x:c>
      <x:c r="L390" s="22" t="n">
        <x:v>6700.020839376616</x:v>
      </x:c>
      <x:c r="M390" s="24" t="n">
        <x:v>0.5703965754443693</x:v>
      </x:c>
    </x:row>
    <x:row r="391">
      <x:c r="A391" t="n">
        <x:v>10388</x:v>
      </x:c>
      <x:c r="B391" s="20" t="n">
        <x:v>46339</x:v>
      </x:c>
      <x:c r="C391" t="str">
        <x:v>Customer 08</x:v>
      </x:c>
      <x:c r="D391" t="str">
        <x:v>SMB</x:v>
      </x:c>
      <x:c r="E391" t="str">
        <x:v>Midwest</x:v>
      </x:c>
      <x:c r="F391" t="str">
        <x:v>Finance Cloud</x:v>
      </x:c>
      <x:c r="G391" t="n">
        <x:v>11</x:v>
      </x:c>
      <x:c r="H391" s="22" t="n">
        <x:v>710.0148969361693</x:v>
      </x:c>
      <x:c r="I391" s="24" t="n">
        <x:v>0.08</x:v>
      </x:c>
      <x:c r="J391" s="22" t="n">
        <x:v>7185.350756994034</x:v>
      </x:c>
      <x:c r="K391" s="22" t="n">
        <x:v>2215.5025609876493</x:v>
      </x:c>
      <x:c r="L391" s="22" t="n">
        <x:v>4969.848196006385</x:v>
      </x:c>
      <x:c r="M391" s="24" t="n">
        <x:v>0.6916639652098909</x:v>
      </x:c>
    </x:row>
    <x:row r="392">
      <x:c r="A392" t="n">
        <x:v>10389</x:v>
      </x:c>
      <x:c r="B392" s="20" t="n">
        <x:v>46342</x:v>
      </x:c>
      <x:c r="C392" t="str">
        <x:v>Customer 15</x:v>
      </x:c>
      <x:c r="D392" t="str">
        <x:v>Enterprise</x:v>
      </x:c>
      <x:c r="E392" t="str">
        <x:v>South</x:v>
      </x:c>
      <x:c r="F392" t="str">
        <x:v>Analytics Pro</x:v>
      </x:c>
      <x:c r="G392" t="n">
        <x:v>52</x:v>
      </x:c>
      <x:c r="H392" s="22" t="n">
        <x:v>462.31788651168085</x:v>
      </x:c>
      <x:c r="I392" s="24" t="n">
        <x:v>0.02</x:v>
      </x:c>
      <x:c r="J392" s="22" t="n">
        <x:v>23559.719496635254</x:v>
      </x:c>
      <x:c r="K392" s="22" t="n">
        <x:v>9006.261611007307</x:v>
      </x:c>
      <x:c r="L392" s="22" t="n">
        <x:v>14553.457885627948</x:v>
      </x:c>
      <x:c r="M392" s="24" t="n">
        <x:v>0.6177262801327681</x:v>
      </x:c>
    </x:row>
    <x:row r="393">
      <x:c r="A393" t="n">
        <x:v>10390</x:v>
      </x:c>
      <x:c r="B393" s="20" t="n">
        <x:v>46345</x:v>
      </x:c>
      <x:c r="C393" t="str">
        <x:v>Customer 22</x:v>
      </x:c>
      <x:c r="D393" t="str">
        <x:v>Mid-Market</x:v>
      </x:c>
      <x:c r="E393" t="str">
        <x:v>West</x:v>
      </x:c>
      <x:c r="F393" t="str">
        <x:v>Data Connect</x:v>
      </x:c>
      <x:c r="G393" t="n">
        <x:v>32</x:v>
      </x:c>
      <x:c r="H393" s="22" t="n">
        <x:v>260.6844869371642</x:v>
      </x:c>
      <x:c r="I393" s="24" t="n">
        <x:v>0</x:v>
      </x:c>
      <x:c r="J393" s="22" t="n">
        <x:v>8341.903581989254</x:v>
      </x:c>
      <x:c r="K393" s="22" t="n">
        <x:v>3848.9209056339346</x:v>
      </x:c>
      <x:c r="L393" s="22" t="n">
        <x:v>4492.982676355319</x:v>
      </x:c>
      <x:c r="M393" s="24" t="n">
        <x:v>0.538604004732922</x:v>
      </x:c>
    </x:row>
    <x:row r="394">
      <x:c r="A394" t="n">
        <x:v>10391</x:v>
      </x:c>
      <x:c r="B394" s="20" t="n">
        <x:v>46348</x:v>
      </x:c>
      <x:c r="C394" t="str">
        <x:v>Customer 29</x:v>
      </x:c>
      <x:c r="D394" t="str">
        <x:v>SMB</x:v>
      </x:c>
      <x:c r="E394" t="str">
        <x:v>Northeast</x:v>
      </x:c>
      <x:c r="F394" t="str">
        <x:v>Reporting Suite</x:v>
      </x:c>
      <x:c r="G394" t="n">
        <x:v>13</x:v>
      </x:c>
      <x:c r="H394" s="22" t="n">
        <x:v>353.087736933881</x:v>
      </x:c>
      <x:c r="I394" s="24" t="n">
        <x:v>0.02</x:v>
      </x:c>
      <x:c r="J394" s="22" t="n">
        <x:v>4498.337768537644</x:v>
      </x:c>
      <x:c r="K394" s="22" t="n">
        <x:v>1931.9831730342923</x:v>
      </x:c>
      <x:c r="L394" s="22" t="n">
        <x:v>2566.3545955033514</x:v>
      </x:c>
      <x:c r="M394" s="24" t="n">
        <x:v>0.5705117595777257</x:v>
      </x:c>
    </x:row>
    <x:row r="395">
      <x:c r="A395" t="n">
        <x:v>10392</x:v>
      </x:c>
      <x:c r="B395" s="20" t="n">
        <x:v>46351</x:v>
      </x:c>
      <x:c r="C395" t="str">
        <x:v>Customer 06</x:v>
      </x:c>
      <x:c r="D395" t="str">
        <x:v>Enterprise</x:v>
      </x:c>
      <x:c r="E395" t="str">
        <x:v>Midwest</x:v>
      </x:c>
      <x:c r="F395" t="str">
        <x:v>Finance Cloud</x:v>
      </x:c>
      <x:c r="G395" t="n">
        <x:v>53</x:v>
      </x:c>
      <x:c r="H395" s="22" t="n">
        <x:v>708.6469378549792</x:v>
      </x:c>
      <x:c r="I395" s="24" t="n">
        <x:v>0</x:v>
      </x:c>
      <x:c r="J395" s="22" t="n">
        <x:v>37558.2877063139</x:v>
      </x:c>
      <x:c r="K395" s="22" t="n">
        <x:v>12444.590082523015</x:v>
      </x:c>
      <x:c r="L395" s="22" t="n">
        <x:v>25113.69762379089</x:v>
      </x:c>
      <x:c r="M395" s="24" t="n">
        <x:v>0.6686592802144449</x:v>
      </x:c>
    </x:row>
    <x:row r="396">
      <x:c r="A396" t="n">
        <x:v>10393</x:v>
      </x:c>
      <x:c r="B396" s="20" t="n">
        <x:v>46327</x:v>
      </x:c>
      <x:c r="C396" t="str">
        <x:v>Customer 13</x:v>
      </x:c>
      <x:c r="D396" t="str">
        <x:v>Mid-Market</x:v>
      </x:c>
      <x:c r="E396" t="str">
        <x:v>South</x:v>
      </x:c>
      <x:c r="F396" t="str">
        <x:v>Analytics Pro</x:v>
      </x:c>
      <x:c r="G396" t="n">
        <x:v>37</x:v>
      </x:c>
      <x:c r="H396" s="22" t="n">
        <x:v>462.5603115609864</x:v>
      </x:c>
      <x:c r="I396" s="24" t="n">
        <x:v>0</x:v>
      </x:c>
      <x:c r="J396" s="22" t="n">
        <x:v>17114.731527756496</x:v>
      </x:c>
      <x:c r="K396" s="22" t="n">
        <x:v>6139.945161968678</x:v>
      </x:c>
      <x:c r="L396" s="22" t="n">
        <x:v>10974.786365787819</x:v>
      </x:c>
      <x:c r="M396" s="24" t="n">
        <x:v>0.6412479417505921</x:v>
      </x:c>
    </x:row>
    <x:row r="397">
      <x:c r="A397" t="n">
        <x:v>10394</x:v>
      </x:c>
      <x:c r="B397" s="20" t="n">
        <x:v>46330</x:v>
      </x:c>
      <x:c r="C397" t="str">
        <x:v>Customer 20</x:v>
      </x:c>
      <x:c r="D397" t="str">
        <x:v>SMB</x:v>
      </x:c>
      <x:c r="E397" t="str">
        <x:v>West</x:v>
      </x:c>
      <x:c r="F397" t="str">
        <x:v>Data Connect</x:v>
      </x:c>
      <x:c r="G397" t="n">
        <x:v>10</x:v>
      </x:c>
      <x:c r="H397" s="22" t="n">
        <x:v>270.7960008110533</x:v>
      </x:c>
      <x:c r="I397" s="24" t="n">
        <x:v>0.03</x:v>
      </x:c>
      <x:c r="J397" s="22" t="n">
        <x:v>2626.721207867217</x:v>
      </x:c>
      <x:c r="K397" s="22" t="n">
        <x:v>1236.277633940297</x:v>
      </x:c>
      <x:c r="L397" s="22" t="n">
        <x:v>1390.44357392692</x:v>
      </x:c>
      <x:c r="M397" s="24" t="n">
        <x:v>0.5293456990267724</x:v>
      </x:c>
    </x:row>
    <x:row r="398">
      <x:c r="A398" t="n">
        <x:v>10395</x:v>
      </x:c>
      <x:c r="B398" s="20" t="n">
        <x:v>46333</x:v>
      </x:c>
      <x:c r="C398" t="str">
        <x:v>Customer 27</x:v>
      </x:c>
      <x:c r="D398" t="str">
        <x:v>Enterprise</x:v>
      </x:c>
      <x:c r="E398" t="str">
        <x:v>Northeast</x:v>
      </x:c>
      <x:c r="F398" t="str">
        <x:v>Reporting Suite</x:v>
      </x:c>
      <x:c r="G398" t="n">
        <x:v>44</x:v>
      </x:c>
      <x:c r="H398" s="22" t="n">
        <x:v>324.73985844346623</x:v>
      </x:c>
      <x:c r="I398" s="24" t="n">
        <x:v>0.08</x:v>
      </x:c>
      <x:c r="J398" s="22" t="n">
        <x:v>13145.469469791513</x:v>
      </x:c>
      <x:c r="K398" s="22" t="n">
        <x:v>5638.150268798724</x:v>
      </x:c>
      <x:c r="L398" s="22" t="n">
        <x:v>7507.319200992789</x:v>
      </x:c>
      <x:c r="M398" s="24" t="n">
        <x:v>0.5710955564002276</x:v>
      </x:c>
    </x:row>
    <x:row r="399">
      <x:c r="A399" t="n">
        <x:v>10396</x:v>
      </x:c>
      <x:c r="B399" s="20" t="n">
        <x:v>46336</x:v>
      </x:c>
      <x:c r="C399" t="str">
        <x:v>Customer 04</x:v>
      </x:c>
      <x:c r="D399" t="str">
        <x:v>Mid-Market</x:v>
      </x:c>
      <x:c r="E399" t="str">
        <x:v>Midwest</x:v>
      </x:c>
      <x:c r="F399" t="str">
        <x:v>Finance Cloud</x:v>
      </x:c>
      <x:c r="G399" t="n">
        <x:v>23</x:v>
      </x:c>
      <x:c r="H399" s="22" t="n">
        <x:v>716.147003183312</x:v>
      </x:c>
      <x:c r="I399" s="24" t="n">
        <x:v>0.02</x:v>
      </x:c>
      <x:c r="J399" s="22" t="n">
        <x:v>16141.953451751853</x:v>
      </x:c>
      <x:c r="K399" s="22" t="n">
        <x:v>4816.140159114461</x:v>
      </x:c>
      <x:c r="L399" s="22" t="n">
        <x:v>11325.813292637391</x:v>
      </x:c>
      <x:c r="M399" s="24" t="n">
        <x:v>0.7016383318468945</x:v>
      </x:c>
    </x:row>
    <x:row r="400">
      <x:c r="A400" t="n">
        <x:v>10397</x:v>
      </x:c>
      <x:c r="B400" s="20" t="n">
        <x:v>46339</x:v>
      </x:c>
      <x:c r="C400" t="str">
        <x:v>Customer 11</x:v>
      </x:c>
      <x:c r="D400" t="str">
        <x:v>SMB</x:v>
      </x:c>
      <x:c r="E400" t="str">
        <x:v>South</x:v>
      </x:c>
      <x:c r="F400" t="str">
        <x:v>Analytics Pro</x:v>
      </x:c>
      <x:c r="G400" t="n">
        <x:v>17</x:v>
      </x:c>
      <x:c r="H400" s="22" t="n">
        <x:v>459.646406648077</x:v>
      </x:c>
      <x:c r="I400" s="24" t="n">
        <x:v>0.08</x:v>
      </x:c>
      <x:c r="J400" s="22" t="n">
        <x:v>7188.869799975924</x:v>
      </x:c>
      <x:c r="K400" s="22" t="n">
        <x:v>2563.6894728674465</x:v>
      </x:c>
      <x:c r="L400" s="22" t="n">
        <x:v>4625.180327108477</x:v>
      </x:c>
      <x:c r="M400" s="24" t="n">
        <x:v>0.6433807338010166</x:v>
      </x:c>
    </x:row>
    <x:row r="401">
      <x:c r="A401" t="n">
        <x:v>10398</x:v>
      </x:c>
      <x:c r="B401" s="20" t="n">
        <x:v>46342</x:v>
      </x:c>
      <x:c r="C401" t="str">
        <x:v>Customer 18</x:v>
      </x:c>
      <x:c r="D401" t="str">
        <x:v>Enterprise</x:v>
      </x:c>
      <x:c r="E401" t="str">
        <x:v>West</x:v>
      </x:c>
      <x:c r="F401" t="str">
        <x:v>Data Connect</x:v>
      </x:c>
      <x:c r="G401" t="n">
        <x:v>37</x:v>
      </x:c>
      <x:c r="H401" s="22" t="n">
        <x:v>255.32111120733813</x:v>
      </x:c>
      <x:c r="I401" s="24" t="n">
        <x:v>0.05</x:v>
      </x:c>
      <x:c r="J401" s="22" t="n">
        <x:v>8974.537058937934</x:v>
      </x:c>
      <x:c r="K401" s="22" t="n">
        <x:v>4419.431587516681</x:v>
      </x:c>
      <x:c r="L401" s="22" t="n">
        <x:v>4555.105471421253</x:v>
      </x:c>
      <x:c r="M401" s="24" t="n">
        <x:v>0.5075588235367222</x:v>
      </x:c>
    </x:row>
    <x:row r="402">
      <x:c r="A402" t="n">
        <x:v>10399</x:v>
      </x:c>
      <x:c r="B402" s="20" t="n">
        <x:v>46345</x:v>
      </x:c>
      <x:c r="C402" t="str">
        <x:v>Customer 25</x:v>
      </x:c>
      <x:c r="D402" t="str">
        <x:v>Mid-Market</x:v>
      </x:c>
      <x:c r="E402" t="str">
        <x:v>Northeast</x:v>
      </x:c>
      <x:c r="F402" t="str">
        <x:v>Reporting Suite</x:v>
      </x:c>
      <x:c r="G402" t="n">
        <x:v>18</x:v>
      </x:c>
      <x:c r="H402" s="22" t="n">
        <x:v>347.15237807096327</x:v>
      </x:c>
      <x:c r="I402" s="24" t="n">
        <x:v>0.08</x:v>
      </x:c>
      <x:c r="J402" s="22" t="n">
        <x:v>5748.843380855152</x:v>
      </x:c>
      <x:c r="K402" s="22" t="n">
        <x:v>2376.270024608971</x:v>
      </x:c>
      <x:c r="L402" s="22" t="n">
        <x:v>3372.5733562461805</x:v>
      </x:c>
      <x:c r="M402" s="24" t="n">
        <x:v>0.5866525025673084</x:v>
      </x:c>
    </x:row>
    <x:row r="403">
      <x:c r="A403" t="n">
        <x:v>10400</x:v>
      </x:c>
      <x:c r="B403" s="20" t="n">
        <x:v>46348</x:v>
      </x:c>
      <x:c r="C403" t="str">
        <x:v>Customer 02</x:v>
      </x:c>
      <x:c r="D403" t="str">
        <x:v>SMB</x:v>
      </x:c>
      <x:c r="E403" t="str">
        <x:v>Midwest</x:v>
      </x:c>
      <x:c r="F403" t="str">
        <x:v>Finance Cloud</x:v>
      </x:c>
      <x:c r="G403" t="n">
        <x:v>25</x:v>
      </x:c>
      <x:c r="H403" s="22" t="n">
        <x:v>705.4294915090426</x:v>
      </x:c>
      <x:c r="I403" s="24" t="n">
        <x:v>0.03</x:v>
      </x:c>
      <x:c r="J403" s="22" t="n">
        <x:v>17106.66516909428</x:v>
      </x:c>
      <x:c r="K403" s="22" t="n">
        <x:v>5259.967373471458</x:v>
      </x:c>
      <x:c r="L403" s="22" t="n">
        <x:v>11846.697795622824</x:v>
      </x:c>
      <x:c r="M403" s="24" t="n">
        <x:v>0.6925194173453301</x:v>
      </x:c>
    </x:row>
    <x:row r="404">
      <x:c r="A404" t="n">
        <x:v>10401</x:v>
      </x:c>
      <x:c r="B404" s="20" t="n">
        <x:v>46351</x:v>
      </x:c>
      <x:c r="C404" t="str">
        <x:v>Customer 09</x:v>
      </x:c>
      <x:c r="D404" t="str">
        <x:v>Enterprise</x:v>
      </x:c>
      <x:c r="E404" t="str">
        <x:v>South</x:v>
      </x:c>
      <x:c r="F404" t="str">
        <x:v>Analytics Pro</x:v>
      </x:c>
      <x:c r="G404" t="n">
        <x:v>54</x:v>
      </x:c>
      <x:c r="H404" s="22" t="n">
        <x:v>466.1465153125878</x:v>
      </x:c>
      <x:c r="I404" s="24" t="n">
        <x:v>0.05</x:v>
      </x:c>
      <x:c r="J404" s="22" t="n">
        <x:v>23913.316235535753</x:v>
      </x:c>
      <x:c r="K404" s="22" t="n">
        <x:v>9581.518805420917</x:v>
      </x:c>
      <x:c r="L404" s="22" t="n">
        <x:v>14331.797430114835</x:v>
      </x:c>
      <x:c r="M404" s="24" t="n">
        <x:v>0.5993228747093406</x:v>
      </x:c>
    </x:row>
    <x:row r="405">
      <x:c r="A405" t="n">
        <x:v>10402</x:v>
      </x:c>
      <x:c r="B405" s="20" t="n">
        <x:v>46327</x:v>
      </x:c>
      <x:c r="C405" t="str">
        <x:v>Customer 16</x:v>
      </x:c>
      <x:c r="D405" t="str">
        <x:v>Mid-Market</x:v>
      </x:c>
      <x:c r="E405" t="str">
        <x:v>West</x:v>
      </x:c>
      <x:c r="F405" t="str">
        <x:v>Data Connect</x:v>
      </x:c>
      <x:c r="G405" t="n">
        <x:v>36</x:v>
      </x:c>
      <x:c r="H405" s="22" t="n">
        <x:v>254.18058350384592</x:v>
      </x:c>
      <x:c r="I405" s="24" t="n">
        <x:v>0.03</x:v>
      </x:c>
      <x:c r="J405" s="22" t="n">
        <x:v>8875.9859759543</x:v>
      </x:c>
      <x:c r="K405" s="22" t="n">
        <x:v>4262.26524624033</x:v>
      </x:c>
      <x:c r="L405" s="22" t="n">
        <x:v>4613.720729713969</x:v>
      </x:c>
      <x:c r="M405" s="24" t="n">
        <x:v>0.5197981094396588</x:v>
      </x:c>
    </x:row>
    <x:row r="406">
      <x:c r="A406" t="n">
        <x:v>10403</x:v>
      </x:c>
      <x:c r="B406" s="20" t="n">
        <x:v>46330</x:v>
      </x:c>
      <x:c r="C406" t="str">
        <x:v>Customer 23</x:v>
      </x:c>
      <x:c r="D406" t="str">
        <x:v>SMB</x:v>
      </x:c>
      <x:c r="E406" t="str">
        <x:v>Northeast</x:v>
      </x:c>
      <x:c r="F406" t="str">
        <x:v>Reporting Suite</x:v>
      </x:c>
      <x:c r="G406" t="n">
        <x:v>18</x:v>
      </x:c>
      <x:c r="H406" s="22" t="n">
        <x:v>352.10984862985646</x:v>
      </x:c>
      <x:c r="I406" s="24" t="n">
        <x:v>0.05</x:v>
      </x:c>
      <x:c r="J406" s="22" t="n">
        <x:v>6021.0784115705455</x:v>
      </x:c>
      <x:c r="K406" s="22" t="n">
        <x:v>2438.5904469406473</x:v>
      </x:c>
      <x:c r="L406" s="22" t="n">
        <x:v>3582.487964629898</x:v>
      </x:c>
      <x:c r="M406" s="24" t="n">
        <x:v>0.594991082950444</x:v>
      </x:c>
    </x:row>
    <x:row r="407">
      <x:c r="A407" t="n">
        <x:v>10404</x:v>
      </x:c>
      <x:c r="B407" s="20" t="n">
        <x:v>46333</x:v>
      </x:c>
      <x:c r="C407" t="str">
        <x:v>Customer 30</x:v>
      </x:c>
      <x:c r="D407" t="str">
        <x:v>Enterprise</x:v>
      </x:c>
      <x:c r="E407" t="str">
        <x:v>Midwest</x:v>
      </x:c>
      <x:c r="F407" t="str">
        <x:v>Finance Cloud</x:v>
      </x:c>
      <x:c r="G407" t="n">
        <x:v>55</x:v>
      </x:c>
      <x:c r="H407" s="22" t="n">
        <x:v>689.9613664071092</x:v>
      </x:c>
      <x:c r="I407" s="24" t="n">
        <x:v>0</x:v>
      </x:c>
      <x:c r="J407" s="22" t="n">
        <x:v>37947.875152391</x:v>
      </x:c>
      <x:c r="K407" s="22" t="n">
        <x:v>12052.326139117542</x:v>
      </x:c>
      <x:c r="L407" s="22" t="n">
        <x:v>25895.549013273463</x:v>
      </x:c>
      <x:c r="M407" s="24" t="n">
        <x:v>0.6823978657377302</x:v>
      </x:c>
    </x:row>
    <x:row r="408">
      <x:c r="A408" t="n">
        <x:v>10405</x:v>
      </x:c>
      <x:c r="B408" s="20" t="n">
        <x:v>46336</x:v>
      </x:c>
      <x:c r="C408" t="str">
        <x:v>Customer 07</x:v>
      </x:c>
      <x:c r="D408" t="str">
        <x:v>Mid-Market</x:v>
      </x:c>
      <x:c r="E408" t="str">
        <x:v>South</x:v>
      </x:c>
      <x:c r="F408" t="str">
        <x:v>Analytics Pro</x:v>
      </x:c>
      <x:c r="G408" t="n">
        <x:v>34</x:v>
      </x:c>
      <x:c r="H408" s="22" t="n">
        <x:v>443.1393652203631</x:v>
      </x:c>
      <x:c r="I408" s="24" t="n">
        <x:v>0.03</x:v>
      </x:c>
      <x:c r="J408" s="22" t="n">
        <x:v>14614.736264967576</x:v>
      </x:c>
      <x:c r="K408" s="22" t="n">
        <x:v>5676.246494325863</x:v>
      </x:c>
      <x:c r="L408" s="22" t="n">
        <x:v>8938.489770641714</x:v>
      </x:c>
      <x:c r="M408" s="24" t="n">
        <x:v>0.6116080104755517</x:v>
      </x:c>
    </x:row>
    <x:row r="409">
      <x:c r="A409" t="n">
        <x:v>10406</x:v>
      </x:c>
      <x:c r="B409" s="20" t="n">
        <x:v>46339</x:v>
      </x:c>
      <x:c r="C409" t="str">
        <x:v>Customer 14</x:v>
      </x:c>
      <x:c r="D409" t="str">
        <x:v>SMB</x:v>
      </x:c>
      <x:c r="E409" t="str">
        <x:v>West</x:v>
      </x:c>
      <x:c r="F409" t="str">
        <x:v>Data Connect</x:v>
      </x:c>
      <x:c r="G409" t="n">
        <x:v>10</x:v>
      </x:c>
      <x:c r="H409" s="22" t="n">
        <x:v>273.0985902826487</x:v>
      </x:c>
      <x:c r="I409" s="24" t="n">
        <x:v>0.08</x:v>
      </x:c>
      <x:c r="J409" s="22" t="n">
        <x:v>2512.507030600368</x:v>
      </x:c>
      <x:c r="K409" s="22" t="n">
        <x:v>1186.1760964606337</x:v>
      </x:c>
      <x:c r="L409" s="22" t="n">
        <x:v>1326.3309341397344</x:v>
      </x:c>
      <x:c r="M409" s="24" t="n">
        <x:v>0.5278914319387219</x:v>
      </x:c>
    </x:row>
    <x:row r="410">
      <x:c r="A410" t="n">
        <x:v>10407</x:v>
      </x:c>
      <x:c r="B410" s="20" t="n">
        <x:v>46357</x:v>
      </x:c>
      <x:c r="C410" t="str">
        <x:v>Customer 07</x:v>
      </x:c>
      <x:c r="D410" t="str">
        <x:v>Enterprise</x:v>
      </x:c>
      <x:c r="E410" t="str">
        <x:v>Northeast</x:v>
      </x:c>
      <x:c r="F410" t="str">
        <x:v>Analytics Pro</x:v>
      </x:c>
      <x:c r="G410" t="n">
        <x:v>57</x:v>
      </x:c>
      <x:c r="H410" s="22" t="n">
        <x:v>482.3562003029991</x:v>
      </x:c>
      <x:c r="I410" s="24" t="n">
        <x:v>0.02</x:v>
      </x:c>
      <x:c r="J410" s="22" t="n">
        <x:v>26944.41734892553</x:v>
      </x:c>
      <x:c r="K410" s="22" t="n">
        <x:v>10634.5524896012</x:v>
      </x:c>
      <x:c r="L410" s="22" t="n">
        <x:v>16309.86485932433</x:v>
      </x:c>
      <x:c r="M410" s="24" t="n">
        <x:v>0.6053151808077499</x:v>
      </x:c>
    </x:row>
    <x:row r="411">
      <x:c r="A411" t="n">
        <x:v>10408</x:v>
      </x:c>
      <x:c r="B411" s="20" t="n">
        <x:v>46360</x:v>
      </x:c>
      <x:c r="C411" t="str">
        <x:v>Customer 14</x:v>
      </x:c>
      <x:c r="D411" t="str">
        <x:v>Mid-Market</x:v>
      </x:c>
      <x:c r="E411" t="str">
        <x:v>Midwest</x:v>
      </x:c>
      <x:c r="F411" t="str">
        <x:v>Data Connect</x:v>
      </x:c>
      <x:c r="G411" t="n">
        <x:v>18</x:v>
      </x:c>
      <x:c r="H411" s="22" t="n">
        <x:v>269.08242531634227</x:v>
      </x:c>
      <x:c r="I411" s="24" t="n">
        <x:v>0</x:v>
      </x:c>
      <x:c r="J411" s="22" t="n">
        <x:v>4843.483655694161</x:v>
      </x:c>
      <x:c r="K411" s="22" t="n">
        <x:v>2393.923896222904</x:v>
      </x:c>
      <x:c r="L411" s="22" t="n">
        <x:v>2449.5597594712567</x:v>
      </x:c>
      <x:c r="M411" s="24" t="n">
        <x:v>0.5057433726634903</x:v>
      </x:c>
    </x:row>
    <x:row r="412">
      <x:c r="A412" t="n">
        <x:v>10409</x:v>
      </x:c>
      <x:c r="B412" s="20" t="n">
        <x:v>46363</x:v>
      </x:c>
      <x:c r="C412" t="str">
        <x:v>Customer 21</x:v>
      </x:c>
      <x:c r="D412" t="str">
        <x:v>SMB</x:v>
      </x:c>
      <x:c r="E412" t="str">
        <x:v>South</x:v>
      </x:c>
      <x:c r="F412" t="str">
        <x:v>Reporting Suite</x:v>
      </x:c>
      <x:c r="G412" t="n">
        <x:v>17</x:v>
      </x:c>
      <x:c r="H412" s="22" t="n">
        <x:v>346.9509300017886</x:v>
      </x:c>
      <x:c r="I412" s="24" t="n">
        <x:v>0.03</x:v>
      </x:c>
      <x:c r="J412" s="22" t="n">
        <x:v>5721.220835729494</x:v>
      </x:c>
      <x:c r="K412" s="22" t="n">
        <x:v>2418.3661796276697</x:v>
      </x:c>
      <x:c r="L412" s="22" t="n">
        <x:v>3302.8546561018243</x:v>
      </x:c>
      <x:c r="M412" s="24" t="n">
        <x:v>0.5772989281370203</x:v>
      </x:c>
    </x:row>
    <x:row r="413">
      <x:c r="A413" t="n">
        <x:v>10410</x:v>
      </x:c>
      <x:c r="B413" s="20" t="n">
        <x:v>46366</x:v>
      </x:c>
      <x:c r="C413" t="str">
        <x:v>Customer 28</x:v>
      </x:c>
      <x:c r="D413" t="str">
        <x:v>Enterprise</x:v>
      </x:c>
      <x:c r="E413" t="str">
        <x:v>West</x:v>
      </x:c>
      <x:c r="F413" t="str">
        <x:v>Finance Cloud</x:v>
      </x:c>
      <x:c r="G413" t="n">
        <x:v>39</x:v>
      </x:c>
      <x:c r="H413" s="22" t="n">
        <x:v>716.5480794181868</x:v>
      </x:c>
      <x:c r="I413" s="24" t="n">
        <x:v>0.08</x:v>
      </x:c>
      <x:c r="J413" s="22" t="n">
        <x:v>25709.745089524546</x:v>
      </x:c>
      <x:c r="K413" s="22" t="n">
        <x:v>7751.1940632045</x:v>
      </x:c>
      <x:c r="L413" s="22" t="n">
        <x:v>17958.551026320045</x:v>
      </x:c>
      <x:c r="M413" s="24" t="n">
        <x:v>0.6985114385143114</x:v>
      </x:c>
    </x:row>
    <x:row r="414">
      <x:c r="A414" t="n">
        <x:v>10411</x:v>
      </x:c>
      <x:c r="B414" s="20" t="n">
        <x:v>46369</x:v>
      </x:c>
      <x:c r="C414" t="str">
        <x:v>Customer 05</x:v>
      </x:c>
      <x:c r="D414" t="str">
        <x:v>Mid-Market</x:v>
      </x:c>
      <x:c r="E414" t="str">
        <x:v>Northeast</x:v>
      </x:c>
      <x:c r="F414" t="str">
        <x:v>Analytics Pro</x:v>
      </x:c>
      <x:c r="G414" t="n">
        <x:v>30</x:v>
      </x:c>
      <x:c r="H414" s="22" t="n">
        <x:v>464.65133459455626</x:v>
      </x:c>
      <x:c r="I414" s="24" t="n">
        <x:v>0.05</x:v>
      </x:c>
      <x:c r="J414" s="22" t="n">
        <x:v>13242.563035944853</x:v>
      </x:c>
      <x:c r="K414" s="22" t="n">
        <x:v>5049.187770101051</x:v>
      </x:c>
      <x:c r="L414" s="22" t="n">
        <x:v>8193.375265843802</x:v>
      </x:c>
      <x:c r="M414" s="24" t="n">
        <x:v>0.618715217258485</x:v>
      </x:c>
    </x:row>
    <x:row r="415">
      <x:c r="A415" t="n">
        <x:v>10412</x:v>
      </x:c>
      <x:c r="B415" s="20" t="n">
        <x:v>46372</x:v>
      </x:c>
      <x:c r="C415" t="str">
        <x:v>Customer 12</x:v>
      </x:c>
      <x:c r="D415" t="str">
        <x:v>SMB</x:v>
      </x:c>
      <x:c r="E415" t="str">
        <x:v>Midwest</x:v>
      </x:c>
      <x:c r="F415" t="str">
        <x:v>Data Connect</x:v>
      </x:c>
      <x:c r="G415" t="n">
        <x:v>14</x:v>
      </x:c>
      <x:c r="H415" s="22" t="n">
        <x:v>277.48217173688624</x:v>
      </x:c>
      <x:c r="I415" s="24" t="n">
        <x:v>0.08</x:v>
      </x:c>
      <x:c r="J415" s="22" t="n">
        <x:v>3573.9703719710947</x:v>
      </x:c>
      <x:c r="K415" s="22" t="n">
        <x:v>1603.5959586699628</x:v>
      </x:c>
      <x:c r="L415" s="22" t="n">
        <x:v>1970.3744133011319</x:v>
      </x:c>
      <x:c r="M415" s="24" t="n">
        <x:v>0.551312464354438</x:v>
      </x:c>
    </x:row>
    <x:row r="416">
      <x:c r="A416" t="n">
        <x:v>10413</x:v>
      </x:c>
      <x:c r="B416" s="20" t="n">
        <x:v>46375</x:v>
      </x:c>
      <x:c r="C416" t="str">
        <x:v>Customer 19</x:v>
      </x:c>
      <x:c r="D416" t="str">
        <x:v>Enterprise</x:v>
      </x:c>
      <x:c r="E416" t="str">
        <x:v>South</x:v>
      </x:c>
      <x:c r="F416" t="str">
        <x:v>Reporting Suite</x:v>
      </x:c>
      <x:c r="G416" t="n">
        <x:v>56</x:v>
      </x:c>
      <x:c r="H416" s="22" t="n">
        <x:v>345.1157373873031</x:v>
      </x:c>
      <x:c r="I416" s="24" t="n">
        <x:v>0.08</x:v>
      </x:c>
      <x:c r="J416" s="22" t="n">
        <x:v>17780.36279019386</x:v>
      </x:c>
      <x:c r="K416" s="22" t="n">
        <x:v>7329.523191500479</x:v>
      </x:c>
      <x:c r="L416" s="22" t="n">
        <x:v>10450.839598693381</x:v>
      </x:c>
      <x:c r="M416" s="24" t="n">
        <x:v>0.587774260964865</x:v>
      </x:c>
    </x:row>
    <x:row r="417">
      <x:c r="A417" t="n">
        <x:v>10414</x:v>
      </x:c>
      <x:c r="B417" s="20" t="n">
        <x:v>46378</x:v>
      </x:c>
      <x:c r="C417" t="str">
        <x:v>Customer 26</x:v>
      </x:c>
      <x:c r="D417" t="str">
        <x:v>Mid-Market</x:v>
      </x:c>
      <x:c r="E417" t="str">
        <x:v>West</x:v>
      </x:c>
      <x:c r="F417" t="str">
        <x:v>Finance Cloud</x:v>
      </x:c>
      <x:c r="G417" t="n">
        <x:v>26</x:v>
      </x:c>
      <x:c r="H417" s="22" t="n">
        <x:v>761.0185988481801</x:v>
      </x:c>
      <x:c r="I417" s="24" t="n">
        <x:v>0.08</x:v>
      </x:c>
      <x:c r="J417" s="22" t="n">
        <x:v>18203.564884448468</x:v>
      </x:c>
      <x:c r="K417" s="22" t="n">
        <x:v>5952.378156207413</x:v>
      </x:c>
      <x:c r="L417" s="22" t="n">
        <x:v>12251.186728241055</x:v>
      </x:c>
      <x:c r="M417" s="24" t="n">
        <x:v>0.6730103035316668</x:v>
      </x:c>
    </x:row>
    <x:row r="418">
      <x:c r="A418" t="n">
        <x:v>10415</x:v>
      </x:c>
      <x:c r="B418" s="20" t="n">
        <x:v>46381</x:v>
      </x:c>
      <x:c r="C418" t="str">
        <x:v>Customer 03</x:v>
      </x:c>
      <x:c r="D418" t="str">
        <x:v>SMB</x:v>
      </x:c>
      <x:c r="E418" t="str">
        <x:v>Northeast</x:v>
      </x:c>
      <x:c r="F418" t="str">
        <x:v>Analytics Pro</x:v>
      </x:c>
      <x:c r="G418" t="n">
        <x:v>24</x:v>
      </x:c>
      <x:c r="H418" s="22" t="n">
        <x:v>466.5964370353346</x:v>
      </x:c>
      <x:c r="I418" s="24" t="n">
        <x:v>0</x:v>
      </x:c>
      <x:c r="J418" s="22" t="n">
        <x:v>11198.314488848031</x:v>
      </x:c>
      <x:c r="K418" s="22" t="n">
        <x:v>4440.9104292390775</x:v>
      </x:c>
      <x:c r="L418" s="22" t="n">
        <x:v>6757.4040596089535</x:v>
      </x:c>
      <x:c r="M418" s="24" t="n">
        <x:v>0.6034304596766229</x:v>
      </x:c>
    </x:row>
    <x:row r="419">
      <x:c r="A419" t="n">
        <x:v>10416</x:v>
      </x:c>
      <x:c r="B419" s="20" t="n">
        <x:v>46357</x:v>
      </x:c>
      <x:c r="C419" t="str">
        <x:v>Customer 10</x:v>
      </x:c>
      <x:c r="D419" t="str">
        <x:v>Enterprise</x:v>
      </x:c>
      <x:c r="E419" t="str">
        <x:v>Midwest</x:v>
      </x:c>
      <x:c r="F419" t="str">
        <x:v>Data Connect</x:v>
      </x:c>
      <x:c r="G419" t="n">
        <x:v>63</x:v>
      </x:c>
      <x:c r="H419" s="22" t="n">
        <x:v>269.38390239959705</x:v>
      </x:c>
      <x:c r="I419" s="24" t="n">
        <x:v>0.03</x:v>
      </x:c>
      <x:c r="J419" s="22" t="n">
        <x:v>16462.050275639376</x:v>
      </x:c>
      <x:c r="K419" s="22" t="n">
        <x:v>7461.142029029082</x:v>
      </x:c>
      <x:c r="L419" s="22" t="n">
        <x:v>9000.908246610295</x:v>
      </x:c>
      <x:c r="M419" s="24" t="n">
        <x:v>0.5467671460054939</x:v>
      </x:c>
    </x:row>
    <x:row r="420">
      <x:c r="A420" t="n">
        <x:v>10417</x:v>
      </x:c>
      <x:c r="B420" s="20" t="n">
        <x:v>46360</x:v>
      </x:c>
      <x:c r="C420" t="str">
        <x:v>Customer 17</x:v>
      </x:c>
      <x:c r="D420" t="str">
        <x:v>Mid-Market</x:v>
      </x:c>
      <x:c r="E420" t="str">
        <x:v>South</x:v>
      </x:c>
      <x:c r="F420" t="str">
        <x:v>Reporting Suite</x:v>
      </x:c>
      <x:c r="G420" t="n">
        <x:v>22</x:v>
      </x:c>
      <x:c r="H420" s="22" t="n">
        <x:v>340.78470570269184</x:v>
      </x:c>
      <x:c r="I420" s="24" t="n">
        <x:v>0.08</x:v>
      </x:c>
      <x:c r="J420" s="22" t="n">
        <x:v>6897.482443422483</x:v>
      </x:c>
      <x:c r="K420" s="22" t="n">
        <x:v>3033.142355123754</x:v>
      </x:c>
      <x:c r="L420" s="22" t="n">
        <x:v>3864.340088298729</x:v>
      </x:c>
      <x:c r="M420" s="24" t="n">
        <x:v>0.5602537041589438</x:v>
      </x:c>
    </x:row>
    <x:row r="421">
      <x:c r="A421" t="n">
        <x:v>10418</x:v>
      </x:c>
      <x:c r="B421" s="20" t="n">
        <x:v>46363</x:v>
      </x:c>
      <x:c r="C421" t="str">
        <x:v>Customer 24</x:v>
      </x:c>
      <x:c r="D421" t="str">
        <x:v>SMB</x:v>
      </x:c>
      <x:c r="E421" t="str">
        <x:v>West</x:v>
      </x:c>
      <x:c r="F421" t="str">
        <x:v>Finance Cloud</x:v>
      </x:c>
      <x:c r="G421" t="n">
        <x:v>27</x:v>
      </x:c>
      <x:c r="H421" s="22" t="n">
        <x:v>758.2207685697765</x:v>
      </x:c>
      <x:c r="I421" s="24" t="n">
        <x:v>0.03</x:v>
      </x:c>
      <x:c r="J421" s="22" t="n">
        <x:v>19857.801928842448</x:v>
      </x:c>
      <x:c r="K421" s="22" t="n">
        <x:v>6052.957800775845</x:v>
      </x:c>
      <x:c r="L421" s="22" t="n">
        <x:v>13804.844128066603</x:v>
      </x:c>
      <x:c r="M421" s="24" t="n">
        <x:v>0.6951849040258463</x:v>
      </x:c>
    </x:row>
    <x:row r="422">
      <x:c r="A422" t="n">
        <x:v>10419</x:v>
      </x:c>
      <x:c r="B422" s="20" t="n">
        <x:v>46366</x:v>
      </x:c>
      <x:c r="C422" t="str">
        <x:v>Customer 01</x:v>
      </x:c>
      <x:c r="D422" t="str">
        <x:v>Enterprise</x:v>
      </x:c>
      <x:c r="E422" t="str">
        <x:v>Northeast</x:v>
      </x:c>
      <x:c r="F422" t="str">
        <x:v>Analytics Pro</x:v>
      </x:c>
      <x:c r="G422" t="n">
        <x:v>51</x:v>
      </x:c>
      <x:c r="H422" s="22" t="n">
        <x:v>477.45726225905</x:v>
      </x:c>
      <x:c r="I422" s="24" t="n">
        <x:v>0.08</x:v>
      </x:c>
      <x:c r="J422" s="22" t="n">
        <x:v>22402.294745194627</x:v>
      </x:c>
      <x:c r="K422" s="22" t="n">
        <x:v>8550.371237691941</x:v>
      </x:c>
      <x:c r="L422" s="22" t="n">
        <x:v>13851.923507502686</x:v>
      </x:c>
      <x:c r="M422" s="24" t="n">
        <x:v>0.6183260985115809</x:v>
      </x:c>
    </x:row>
    <x:row r="423">
      <x:c r="A423" t="n">
        <x:v>10420</x:v>
      </x:c>
      <x:c r="B423" s="20" t="n">
        <x:v>46369</x:v>
      </x:c>
      <x:c r="C423" t="str">
        <x:v>Customer 08</x:v>
      </x:c>
      <x:c r="D423" t="str">
        <x:v>Mid-Market</x:v>
      </x:c>
      <x:c r="E423" t="str">
        <x:v>Midwest</x:v>
      </x:c>
      <x:c r="F423" t="str">
        <x:v>Data Connect</x:v>
      </x:c>
      <x:c r="G423" t="n">
        <x:v>26</x:v>
      </x:c>
      <x:c r="H423" s="22" t="n">
        <x:v>268.88299935677423</x:v>
      </x:c>
      <x:c r="I423" s="24" t="n">
        <x:v>0.02</x:v>
      </x:c>
      <x:c r="J423" s="22" t="n">
        <x:v>6851.138823610608</x:v>
      </x:c>
      <x:c r="K423" s="22" t="n">
        <x:v>3251.484867299182</x:v>
      </x:c>
      <x:c r="L423" s="22" t="n">
        <x:v>3599.6539563114256</x:v>
      </x:c>
      <x:c r="M423" s="24" t="n">
        <x:v>0.5254095777341697</x:v>
      </x:c>
    </x:row>
    <x:row r="424">
      <x:c r="A424" t="n">
        <x:v>10421</x:v>
      </x:c>
      <x:c r="B424" s="20" t="n">
        <x:v>46372</x:v>
      </x:c>
      <x:c r="C424" t="str">
        <x:v>Customer 15</x:v>
      </x:c>
      <x:c r="D424" t="str">
        <x:v>SMB</x:v>
      </x:c>
      <x:c r="E424" t="str">
        <x:v>South</x:v>
      </x:c>
      <x:c r="F424" t="str">
        <x:v>Reporting Suite</x:v>
      </x:c>
      <x:c r="G424" t="n">
        <x:v>11</x:v>
      </x:c>
      <x:c r="H424" s="22" t="n">
        <x:v>352.3863008652363</x:v>
      </x:c>
      <x:c r="I424" s="24" t="n">
        <x:v>0.08</x:v>
      </x:c>
      <x:c r="J424" s="22" t="n">
        <x:v>3566.149364756192</x:v>
      </x:c>
      <x:c r="K424" s="22" t="n">
        <x:v>1468.8290927938724</x:v>
      </x:c>
      <x:c r="L424" s="22" t="n">
        <x:v>2097.3202719623196</x:v>
      </x:c>
      <x:c r="M424" s="24" t="n">
        <x:v>0.5881190206697099</x:v>
      </x:c>
    </x:row>
    <x:row r="425">
      <x:c r="A425" t="n">
        <x:v>10422</x:v>
      </x:c>
      <x:c r="B425" s="20" t="n">
        <x:v>46375</x:v>
      </x:c>
      <x:c r="C425" t="str">
        <x:v>Customer 22</x:v>
      </x:c>
      <x:c r="D425" t="str">
        <x:v>Enterprise</x:v>
      </x:c>
      <x:c r="E425" t="str">
        <x:v>West</x:v>
      </x:c>
      <x:c r="F425" t="str">
        <x:v>Finance Cloud</x:v>
      </x:c>
      <x:c r="G425" t="n">
        <x:v>42</x:v>
      </x:c>
      <x:c r="H425" s="22" t="n">
        <x:v>765.0345008036321</x:v>
      </x:c>
      <x:c r="I425" s="24" t="n">
        <x:v>0</x:v>
      </x:c>
      <x:c r="J425" s="22" t="n">
        <x:v>32131.44903375255</x:v>
      </x:c>
      <x:c r="K425" s="22" t="n">
        <x:v>10804.579318177495</x:v>
      </x:c>
      <x:c r="L425" s="22" t="n">
        <x:v>21326.869715575056</x:v>
      </x:c>
      <x:c r="M425" s="24" t="n">
        <x:v>0.6637381866336685</x:v>
      </x:c>
    </x:row>
    <x:row r="426">
      <x:c r="A426" t="n">
        <x:v>10423</x:v>
      </x:c>
      <x:c r="B426" s="20" t="n">
        <x:v>46378</x:v>
      </x:c>
      <x:c r="C426" t="str">
        <x:v>Customer 29</x:v>
      </x:c>
      <x:c r="D426" t="str">
        <x:v>Mid-Market</x:v>
      </x:c>
      <x:c r="E426" t="str">
        <x:v>Northeast</x:v>
      </x:c>
      <x:c r="F426" t="str">
        <x:v>Analytics Pro</x:v>
      </x:c>
      <x:c r="G426" t="n">
        <x:v>30</x:v>
      </x:c>
      <x:c r="H426" s="22" t="n">
        <x:v>478.3847803669175</x:v>
      </x:c>
      <x:c r="I426" s="24" t="n">
        <x:v>0.08</x:v>
      </x:c>
      <x:c r="J426" s="22" t="n">
        <x:v>13203.419938126923</x:v>
      </x:c>
      <x:c r="K426" s="22" t="n">
        <x:v>4861.932232546359</x:v>
      </x:c>
      <x:c r="L426" s="22" t="n">
        <x:v>8341.487705580563</x:v>
      </x:c>
      <x:c r="M426" s="24" t="n">
        <x:v>0.6317672046083472</x:v>
      </x:c>
    </x:row>
    <x:row r="427">
      <x:c r="A427" t="n">
        <x:v>10424</x:v>
      </x:c>
      <x:c r="B427" s="20" t="n">
        <x:v>46381</x:v>
      </x:c>
      <x:c r="C427" t="str">
        <x:v>Customer 06</x:v>
      </x:c>
      <x:c r="D427" t="str">
        <x:v>SMB</x:v>
      </x:c>
      <x:c r="E427" t="str">
        <x:v>Midwest</x:v>
      </x:c>
      <x:c r="F427" t="str">
        <x:v>Data Connect</x:v>
      </x:c>
      <x:c r="G427" t="n">
        <x:v>16</x:v>
      </x:c>
      <x:c r="H427" s="22" t="n">
        <x:v>259.47183509566656</x:v>
      </x:c>
      <x:c r="I427" s="24" t="n">
        <x:v>0.08</x:v>
      </x:c>
      <x:c r="J427" s="22" t="n">
        <x:v>3819.425412608212</x:v>
      </x:c>
      <x:c r="K427" s="22" t="n">
        <x:v>1779.2004160146603</x:v>
      </x:c>
      <x:c r="L427" s="22" t="n">
        <x:v>2040.2249965935516</x:v>
      </x:c>
      <x:c r="M427" s="24" t="n">
        <x:v>0.5341706608168377</x:v>
      </x:c>
    </x:row>
    <x:row r="428">
      <x:c r="A428" t="n">
        <x:v>10425</x:v>
      </x:c>
      <x:c r="B428" s="20" t="n">
        <x:v>46357</x:v>
      </x:c>
      <x:c r="C428" t="str">
        <x:v>Customer 13</x:v>
      </x:c>
      <x:c r="D428" t="str">
        <x:v>Enterprise</x:v>
      </x:c>
      <x:c r="E428" t="str">
        <x:v>South</x:v>
      </x:c>
      <x:c r="F428" t="str">
        <x:v>Reporting Suite</x:v>
      </x:c>
      <x:c r="G428" t="n">
        <x:v>38</x:v>
      </x:c>
      <x:c r="H428" s="22" t="n">
        <x:v>352.49816132505947</x:v>
      </x:c>
      <x:c r="I428" s="24" t="n">
        <x:v>0.03</x:v>
      </x:c>
      <x:c r="J428" s="22" t="n">
        <x:v>12993.082226441693</x:v>
      </x:c>
      <x:c r="K428" s="22" t="n">
        <x:v>5549.285189026629</x:v>
      </x:c>
      <x:c r="L428" s="22" t="n">
        <x:v>7443.797037415064</x:v>
      </x:c>
      <x:c r="M428" s="24" t="n">
        <x:v>0.5729046355349384</x:v>
      </x:c>
    </x:row>
    <x:row r="429">
      <x:c r="A429" t="n">
        <x:v>10426</x:v>
      </x:c>
      <x:c r="B429" s="20" t="n">
        <x:v>46360</x:v>
      </x:c>
      <x:c r="C429" t="str">
        <x:v>Customer 20</x:v>
      </x:c>
      <x:c r="D429" t="str">
        <x:v>Mid-Market</x:v>
      </x:c>
      <x:c r="E429" t="str">
        <x:v>West</x:v>
      </x:c>
      <x:c r="F429" t="str">
        <x:v>Finance Cloud</x:v>
      </x:c>
      <x:c r="G429" t="n">
        <x:v>20</x:v>
      </x:c>
      <x:c r="H429" s="22" t="n">
        <x:v>710.710941707716</x:v>
      </x:c>
      <x:c r="I429" s="24" t="n">
        <x:v>0.02</x:v>
      </x:c>
      <x:c r="J429" s="22" t="n">
        <x:v>13929.934457471232</x:v>
      </x:c>
      <x:c r="K429" s="22" t="n">
        <x:v>4669.793327300447</x:v>
      </x:c>
      <x:c r="L429" s="22" t="n">
        <x:v>9260.141130170785</x:v>
      </x:c>
      <x:c r="M429" s="24" t="n">
        <x:v>0.6647655922892133</x:v>
      </x:c>
    </x:row>
    <x:row r="430">
      <x:c r="A430" t="n">
        <x:v>10427</x:v>
      </x:c>
      <x:c r="B430" s="20" t="n">
        <x:v>46363</x:v>
      </x:c>
      <x:c r="C430" t="str">
        <x:v>Customer 27</x:v>
      </x:c>
      <x:c r="D430" t="str">
        <x:v>SMB</x:v>
      </x:c>
      <x:c r="E430" t="str">
        <x:v>Northeast</x:v>
      </x:c>
      <x:c r="F430" t="str">
        <x:v>Analytics Pro</x:v>
      </x:c>
      <x:c r="G430" t="n">
        <x:v>13</x:v>
      </x:c>
      <x:c r="H430" s="22" t="n">
        <x:v>446.2951813437258</x:v>
      </x:c>
      <x:c r="I430" s="24" t="n">
        <x:v>0</x:v>
      </x:c>
      <x:c r="J430" s="22" t="n">
        <x:v>5801.837357468436</x:v>
      </x:c>
      <x:c r="K430" s="22" t="n">
        <x:v>2105.5101140502015</x:v>
      </x:c>
      <x:c r="L430" s="22" t="n">
        <x:v>3696.327243418234</x:v>
      </x:c>
      <x:c r="M430" s="24" t="n">
        <x:v>0.6370959776492396</x:v>
      </x:c>
    </x:row>
    <x:row r="431">
      <x:c r="A431" t="n">
        <x:v>10428</x:v>
      </x:c>
      <x:c r="B431" s="20" t="n">
        <x:v>46366</x:v>
      </x:c>
      <x:c r="C431" t="str">
        <x:v>Customer 04</x:v>
      </x:c>
      <x:c r="D431" t="str">
        <x:v>Enterprise</x:v>
      </x:c>
      <x:c r="E431" t="str">
        <x:v>Midwest</x:v>
      </x:c>
      <x:c r="F431" t="str">
        <x:v>Data Connect</x:v>
      </x:c>
      <x:c r="G431" t="n">
        <x:v>38</x:v>
      </x:c>
      <x:c r="H431" s="22" t="n">
        <x:v>266.0782950458825</x:v>
      </x:c>
      <x:c r="I431" s="24" t="n">
        <x:v>0.05</x:v>
      </x:c>
      <x:c r="J431" s="22" t="n">
        <x:v>9605.426451156358</x:v>
      </x:c>
      <x:c r="K431" s="22" t="n">
        <x:v>4372.4011733209045</x:v>
      </x:c>
      <x:c r="L431" s="22" t="n">
        <x:v>5233.025277835453</x:v>
      </x:c>
      <x:c r="M431" s="24" t="n">
        <x:v>0.5447988493218301</x:v>
      </x:c>
    </x:row>
    <x:row r="432">
      <x:c r="A432" t="n">
        <x:v>10429</x:v>
      </x:c>
      <x:c r="B432" s="20" t="n">
        <x:v>46369</x:v>
      </x:c>
      <x:c r="C432" t="str">
        <x:v>Customer 11</x:v>
      </x:c>
      <x:c r="D432" t="str">
        <x:v>Mid-Market</x:v>
      </x:c>
      <x:c r="E432" t="str">
        <x:v>South</x:v>
      </x:c>
      <x:c r="F432" t="str">
        <x:v>Reporting Suite</x:v>
      </x:c>
      <x:c r="G432" t="n">
        <x:v>22</x:v>
      </x:c>
      <x:c r="H432" s="22" t="n">
        <x:v>356.2978712453246</x:v>
      </x:c>
      <x:c r="I432" s="24" t="n">
        <x:v>0.03</x:v>
      </x:c>
      <x:c r="J432" s="22" t="n">
        <x:v>7603.396572375226</x:v>
      </x:c>
      <x:c r="K432" s="22" t="n">
        <x:v>3374.149461136788</x:v>
      </x:c>
      <x:c r="L432" s="22" t="n">
        <x:v>4229.247111238438</x:v>
      </x:c>
      <x:c r="M432" s="24" t="n">
        <x:v>0.556231293604256</x:v>
      </x:c>
    </x:row>
    <x:row r="433">
      <x:c r="A433" t="n">
        <x:v>10430</x:v>
      </x:c>
      <x:c r="B433" s="20" t="n">
        <x:v>46372</x:v>
      </x:c>
      <x:c r="C433" t="str">
        <x:v>Customer 18</x:v>
      </x:c>
      <x:c r="D433" t="str">
        <x:v>SMB</x:v>
      </x:c>
      <x:c r="E433" t="str">
        <x:v>West</x:v>
      </x:c>
      <x:c r="F433" t="str">
        <x:v>Finance Cloud</x:v>
      </x:c>
      <x:c r="G433" t="n">
        <x:v>11</x:v>
      </x:c>
      <x:c r="H433" s="22" t="n">
        <x:v>695.7437309996166</x:v>
      </x:c>
      <x:c r="I433" s="24" t="n">
        <x:v>0.03</x:v>
      </x:c>
      <x:c r="J433" s="22" t="n">
        <x:v>7423.585609765909</x:v>
      </x:c>
      <x:c r="K433" s="22" t="n">
        <x:v>2381.107710515348</x:v>
      </x:c>
      <x:c r="L433" s="22" t="n">
        <x:v>5042.477899250561</x:v>
      </x:c>
      <x:c r="M433" s="24" t="n">
        <x:v>0.6792509932958889</x:v>
      </x:c>
    </x:row>
    <x:row r="434">
      <x:c r="A434" t="n">
        <x:v>10431</x:v>
      </x:c>
      <x:c r="B434" s="20" t="n">
        <x:v>46375</x:v>
      </x:c>
      <x:c r="C434" t="str">
        <x:v>Customer 25</x:v>
      </x:c>
      <x:c r="D434" t="str">
        <x:v>Enterprise</x:v>
      </x:c>
      <x:c r="E434" t="str">
        <x:v>Northeast</x:v>
      </x:c>
      <x:c r="F434" t="str">
        <x:v>Analytics Pro</x:v>
      </x:c>
      <x:c r="G434" t="n">
        <x:v>49</x:v>
      </x:c>
      <x:c r="H434" s="22" t="n">
        <x:v>449.0921167239714</x:v>
      </x:c>
      <x:c r="I434" s="24" t="n">
        <x:v>0.05</x:v>
      </x:c>
      <x:c r="J434" s="22" t="n">
        <x:v>20905.238033500867</x:v>
      </x:c>
      <x:c r="K434" s="22" t="n">
        <x:v>7680.499664502612</x:v>
      </x:c>
      <x:c r="L434" s="22" t="n">
        <x:v>13224.738368998256</x:v>
      </x:c>
      <x:c r="M434" s="24" t="n">
        <x:v>0.6326040558737227</x:v>
      </x:c>
    </x:row>
    <x:row r="435">
      <x:c r="A435" t="n">
        <x:v>10432</x:v>
      </x:c>
      <x:c r="B435" s="20" t="n">
        <x:v>46378</x:v>
      </x:c>
      <x:c r="C435" t="str">
        <x:v>Customer 02</x:v>
      </x:c>
      <x:c r="D435" t="str">
        <x:v>Mid-Market</x:v>
      </x:c>
      <x:c r="E435" t="str">
        <x:v>Midwest</x:v>
      </x:c>
      <x:c r="F435" t="str">
        <x:v>Data Connect</x:v>
      </x:c>
      <x:c r="G435" t="n">
        <x:v>31</x:v>
      </x:c>
      <x:c r="H435" s="22" t="n">
        <x:v>255.7947566649938</x:v>
      </x:c>
      <x:c r="I435" s="24" t="n">
        <x:v>0.03</x:v>
      </x:c>
      <x:c r="J435" s="22" t="n">
        <x:v>7691.748332916363</x:v>
      </x:c>
      <x:c r="K435" s="22" t="n">
        <x:v>3786.4111417684962</x:v>
      </x:c>
      <x:c r="L435" s="22" t="n">
        <x:v>3905.337191147867</x:v>
      </x:c>
      <x:c r="M435" s="24" t="n">
        <x:v>0.5077307553648391</x:v>
      </x:c>
    </x:row>
    <x:row r="436">
      <x:c r="A436" t="n">
        <x:v>10433</x:v>
      </x:c>
      <x:c r="B436" s="20" t="n">
        <x:v>46381</x:v>
      </x:c>
      <x:c r="C436" t="str">
        <x:v>Customer 09</x:v>
      </x:c>
      <x:c r="D436" t="str">
        <x:v>SMB</x:v>
      </x:c>
      <x:c r="E436" t="str">
        <x:v>South</x:v>
      </x:c>
      <x:c r="F436" t="str">
        <x:v>Reporting Suite</x:v>
      </x:c>
      <x:c r="G436" t="n">
        <x:v>21</x:v>
      </x:c>
      <x:c r="H436" s="22" t="n">
        <x:v>366.47734334769973</x:v>
      </x:c>
      <x:c r="I436" s="24" t="n">
        <x:v>0.02</x:v>
      </x:c>
      <x:c r="J436" s="22" t="n">
        <x:v>7542.10372609566</x:v>
      </x:c>
      <x:c r="K436" s="22" t="n">
        <x:v>3285.8976866441476</x:v>
      </x:c>
      <x:c r="L436" s="22" t="n">
        <x:v>4256.206039451512</x:v>
      </x:c>
      <x:c r="M436" s="24" t="n">
        <x:v>0.5643261076780275</x:v>
      </x:c>
    </x:row>
    <x:row r="437">
      <x:c r="A437" t="n">
        <x:v>10434</x:v>
      </x:c>
      <x:c r="B437" s="20" t="n">
        <x:v>46357</x:v>
      </x:c>
      <x:c r="C437" t="str">
        <x:v>Customer 16</x:v>
      </x:c>
      <x:c r="D437" t="str">
        <x:v>Enterprise</x:v>
      </x:c>
      <x:c r="E437" t="str">
        <x:v>West</x:v>
      </x:c>
      <x:c r="F437" t="str">
        <x:v>Finance Cloud</x:v>
      </x:c>
      <x:c r="G437" t="n">
        <x:v>38</x:v>
      </x:c>
      <x:c r="H437" s="22" t="n">
        <x:v>765.8925341193881</x:v>
      </x:c>
      <x:c r="I437" s="24" t="n">
        <x:v>0.03</x:v>
      </x:c>
      <x:c r="J437" s="22" t="n">
        <x:v>28230.798807640644</x:v>
      </x:c>
      <x:c r="K437" s="22" t="n">
        <x:v>8596.04406417729</x:v>
      </x:c>
      <x:c r="L437" s="22" t="n">
        <x:v>19634.754743463352</x:v>
      </x:c>
      <x:c r="M437" s="24" t="n">
        <x:v>0.6955082949388319</x:v>
      </x:c>
    </x:row>
    <x:row r="438">
      <x:c r="A438" t="n">
        <x:v>10435</x:v>
      </x:c>
      <x:c r="B438" s="20" t="n">
        <x:v>46360</x:v>
      </x:c>
      <x:c r="C438" t="str">
        <x:v>Customer 23</x:v>
      </x:c>
      <x:c r="D438" t="str">
        <x:v>Mid-Market</x:v>
      </x:c>
      <x:c r="E438" t="str">
        <x:v>Northeast</x:v>
      </x:c>
      <x:c r="F438" t="str">
        <x:v>Analytics Pro</x:v>
      </x:c>
      <x:c r="G438" t="n">
        <x:v>42</x:v>
      </x:c>
      <x:c r="H438" s="22" t="n">
        <x:v>468.52677976603803</x:v>
      </x:c>
      <x:c r="I438" s="24" t="n">
        <x:v>0.03</x:v>
      </x:c>
      <x:c r="J438" s="22" t="n">
        <x:v>19087.78100766839</x:v>
      </x:c>
      <x:c r="K438" s="22" t="n">
        <x:v>7250.847000305032</x:v>
      </x:c>
      <x:c r="L438" s="22" t="n">
        <x:v>11836.934007363358</x:v>
      </x:c>
      <x:c r="M438" s="24" t="n">
        <x:v>0.6201314863476246</x:v>
      </x:c>
    </x:row>
    <x:row r="439">
      <x:c r="A439" t="n">
        <x:v>10436</x:v>
      </x:c>
      <x:c r="B439" s="20" t="n">
        <x:v>46363</x:v>
      </x:c>
      <x:c r="C439" t="str">
        <x:v>Customer 30</x:v>
      </x:c>
      <x:c r="D439" t="str">
        <x:v>SMB</x:v>
      </x:c>
      <x:c r="E439" t="str">
        <x:v>Midwest</x:v>
      </x:c>
      <x:c r="F439" t="str">
        <x:v>Data Connect</x:v>
      </x:c>
      <x:c r="G439" t="n">
        <x:v>38</x:v>
      </x:c>
      <x:c r="H439" s="22" t="n">
        <x:v>255.57662360973234</x:v>
      </x:c>
      <x:c r="I439" s="24" t="n">
        <x:v>0.05</x:v>
      </x:c>
      <x:c r="J439" s="22" t="n">
        <x:v>9226.316112311337</x:v>
      </x:c>
      <x:c r="K439" s="22" t="n">
        <x:v>4338.880189632283</x:v>
      </x:c>
      <x:c r="L439" s="22" t="n">
        <x:v>4887.435922679054</x:v>
      </x:c>
      <x:c r="M439" s="24" t="n">
        <x:v>0.5297277768488114</x:v>
      </x:c>
    </x:row>
    <x:row r="440">
      <x:c r="A440" t="n">
        <x:v>10437</x:v>
      </x:c>
      <x:c r="B440" s="20" t="n">
        <x:v>46366</x:v>
      </x:c>
      <x:c r="C440" t="str">
        <x:v>Customer 07</x:v>
      </x:c>
      <x:c r="D440" t="str">
        <x:v>Enterprise</x:v>
      </x:c>
      <x:c r="E440" t="str">
        <x:v>South</x:v>
      </x:c>
      <x:c r="F440" t="str">
        <x:v>Reporting Suite</x:v>
      </x:c>
      <x:c r="G440" t="n">
        <x:v>50</x:v>
      </x:c>
      <x:c r="H440" s="22" t="n">
        <x:v>341.07102098211124</x:v>
      </x:c>
      <x:c r="I440" s="24" t="n">
        <x:v>0</x:v>
      </x:c>
      <x:c r="J440" s="22" t="n">
        <x:v>17053.55104910556</x:v>
      </x:c>
      <x:c r="K440" s="22" t="n">
        <x:v>6976.058898368815</x:v>
      </x:c>
      <x:c r="L440" s="22" t="n">
        <x:v>10077.492150736747</x:v>
      </x:c>
      <x:c r="M440" s="24" t="n">
        <x:v>0.5909321830813237</x:v>
      </x:c>
    </x:row>
    <x:row r="441">
      <x:c r="A441" t="n">
        <x:v>10438</x:v>
      </x:c>
      <x:c r="B441" s="20" t="n">
        <x:v>46369</x:v>
      </x:c>
      <x:c r="C441" t="str">
        <x:v>Customer 14</x:v>
      </x:c>
      <x:c r="D441" t="str">
        <x:v>Mid-Market</x:v>
      </x:c>
      <x:c r="E441" t="str">
        <x:v>West</x:v>
      </x:c>
      <x:c r="F441" t="str">
        <x:v>Finance Cloud</x:v>
      </x:c>
      <x:c r="G441" t="n">
        <x:v>26</x:v>
      </x:c>
      <x:c r="H441" s="22" t="n">
        <x:v>736.5192398354499</x:v>
      </x:c>
      <x:c r="I441" s="24" t="n">
        <x:v>0.05</x:v>
      </x:c>
      <x:c r="J441" s="22" t="n">
        <x:v>18192.025223935612</x:v>
      </x:c>
      <x:c r="K441" s="22" t="n">
        <x:v>5626.564529204694</x:v>
      </x:c>
      <x:c r="L441" s="22" t="n">
        <x:v>12565.460694730918</x:v>
      </x:c>
      <x:c r="M441" s="24" t="n">
        <x:v>0.6907125809279492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7f49b82a1534e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Customer Revenue &amp; Profitability</x:v>
      </x:c>
      <x:c r="B1" s="5"/>
      <x:c r="C1" s="5"/>
      <x:c r="D1" s="5"/>
      <x:c r="E1" s="5"/>
      <x:c r="F1" s="5"/>
    </x:row>
    <x:row r="3">
      <x:c r="A3" s="17" t="str">
        <x:v>Customer</x:v>
      </x:c>
      <x:c r="B3" s="17" t="str">
        <x:v>Revenue</x:v>
      </x:c>
      <x:c r="C3" s="17" t="str">
        <x:v>COGS</x:v>
      </x:c>
      <x:c r="D3" s="17" t="str">
        <x:v>Gross Profit</x:v>
      </x:c>
      <x:c r="E3" s="17" t="str">
        <x:v>Gross Margin</x:v>
      </x:c>
      <x:c r="F3" s="17" t="str">
        <x:v>Units</x:v>
      </x:c>
    </x:row>
    <x:row r="4">
      <x:c r="A4" s="109" t="str">
        <x:v>Customer 01</x:v>
      </x:c>
      <x:c r="B4" s="110" t="n">
        <x:f>SUMIFS('Transaction Data'!$J$4:$J$441,'Transaction Data'!$C$4:$C$441,A4)</x:f>
        <x:v>171189.18604466805</x:v>
      </x:c>
      <x:c r="C4" s="110" t="n">
        <x:f>SUMIFS('Transaction Data'!$K$4:$K$441,'Transaction Data'!$C$4:$C$441,A4)</x:f>
        <x:v>68274.03937555826</x:v>
      </x:c>
      <x:c r="D4" s="110" t="n">
        <x:f>SUMIFS('Transaction Data'!$L$4:$L$441,'Transaction Data'!$C$4:$C$441,A4)</x:f>
        <x:v>102915.14666910976</x:v>
      </x:c>
      <x:c r="E4" s="111" t="n">
        <x:f>IFERROR(D4/B4,0)</x:f>
        <x:v>0.6011778491794237</x:v>
      </x:c>
      <x:c r="F4" s="113" t="n">
        <x:f>SUMIFS('Transaction Data'!$G$4:$G$441,'Transaction Data'!$C$4:$C$441,A4)</x:f>
        <x:v>447</x:v>
      </x:c>
    </x:row>
    <x:row r="5">
      <x:c r="A5" s="109" t="str">
        <x:v>Customer 02</x:v>
      </x:c>
      <x:c r="B5" s="110" t="n">
        <x:f>SUMIFS('Transaction Data'!$J$4:$J$441,'Transaction Data'!$C$4:$C$441,A5)</x:f>
        <x:v>223431.72136594058</x:v>
      </x:c>
      <x:c r="C5" s="110" t="n">
        <x:f>SUMIFS('Transaction Data'!$K$4:$K$441,'Transaction Data'!$C$4:$C$441,A5)</x:f>
        <x:v>77298.27306163826</x:v>
      </x:c>
      <x:c r="D5" s="110" t="n">
        <x:f>SUMIFS('Transaction Data'!$L$4:$L$441,'Transaction Data'!$C$4:$C$441,A5)</x:f>
        <x:v>146133.44830430232</x:v>
      </x:c>
      <x:c r="E5" s="111" t="n">
        <x:f>IFERROR(D5/B5,0)</x:f>
        <x:v>0.6540407396538036</x:v>
      </x:c>
      <x:c r="F5" s="113" t="n">
        <x:f>SUMIFS('Transaction Data'!$G$4:$G$441,'Transaction Data'!$C$4:$C$441,A5)</x:f>
        <x:v>459</x:v>
      </x:c>
    </x:row>
    <x:row r="6">
      <x:c r="A6" s="109" t="str">
        <x:v>Customer 03</x:v>
      </x:c>
      <x:c r="B6" s="110" t="n">
        <x:f>SUMIFS('Transaction Data'!$J$4:$J$441,'Transaction Data'!$C$4:$C$441,A6)</x:f>
        <x:v>147927.94155933475</x:v>
      </x:c>
      <x:c r="C6" s="110" t="n">
        <x:f>SUMIFS('Transaction Data'!$K$4:$K$441,'Transaction Data'!$C$4:$C$441,A6)</x:f>
        <x:v>57951.193465855664</x:v>
      </x:c>
      <x:c r="D6" s="110" t="n">
        <x:f>SUMIFS('Transaction Data'!$L$4:$L$441,'Transaction Data'!$C$4:$C$441,A6)</x:f>
        <x:v>89976.74809347908</x:v>
      </x:c>
      <x:c r="E6" s="111" t="n">
        <x:f>IFERROR(D6/B6,0)</x:f>
        <x:v>0.608247144826178</x:v>
      </x:c>
      <x:c r="F6" s="113" t="n">
        <x:f>SUMIFS('Transaction Data'!$G$4:$G$441,'Transaction Data'!$C$4:$C$441,A6)</x:f>
        <x:v>397</x:v>
      </x:c>
    </x:row>
    <x:row r="7">
      <x:c r="A7" s="109" t="str">
        <x:v>Customer 04</x:v>
      </x:c>
      <x:c r="B7" s="110" t="n">
        <x:f>SUMIFS('Transaction Data'!$J$4:$J$441,'Transaction Data'!$C$4:$C$441,A7)</x:f>
        <x:v>161684.26655033635</x:v>
      </x:c>
      <x:c r="C7" s="110" t="n">
        <x:f>SUMIFS('Transaction Data'!$K$4:$K$441,'Transaction Data'!$C$4:$C$441,A7)</x:f>
        <x:v>59446.926149961655</x:v>
      </x:c>
      <x:c r="D7" s="110" t="n">
        <x:f>SUMIFS('Transaction Data'!$L$4:$L$441,'Transaction Data'!$C$4:$C$441,A7)</x:f>
        <x:v>102237.34040037471</x:v>
      </x:c>
      <x:c r="E7" s="111" t="n">
        <x:f>IFERROR(D7/B7,0)</x:f>
        <x:v>0.6323270815502984</x:v>
      </x:c>
      <x:c r="F7" s="113" t="n">
        <x:f>SUMIFS('Transaction Data'!$G$4:$G$441,'Transaction Data'!$C$4:$C$441,A7)</x:f>
        <x:v>379</x:v>
      </x:c>
    </x:row>
    <x:row r="8">
      <x:c r="A8" s="109" t="str">
        <x:v>Customer 05</x:v>
      </x:c>
      <x:c r="B8" s="110" t="n">
        <x:f>SUMIFS('Transaction Data'!$J$4:$J$441,'Transaction Data'!$C$4:$C$441,A8)</x:f>
        <x:v>161472.33057727056</x:v>
      </x:c>
      <x:c r="C8" s="110" t="n">
        <x:f>SUMIFS('Transaction Data'!$K$4:$K$441,'Transaction Data'!$C$4:$C$441,A8)</x:f>
        <x:v>62480.212566710296</x:v>
      </x:c>
      <x:c r="D8" s="110" t="n">
        <x:f>SUMIFS('Transaction Data'!$L$4:$L$441,'Transaction Data'!$C$4:$C$441,A8)</x:f>
        <x:v>98992.11801056027</x:v>
      </x:c>
      <x:c r="E8" s="111" t="n">
        <x:f>IFERROR(D8/B8,0)</x:f>
        <x:v>0.6130593251280834</x:v>
      </x:c>
      <x:c r="F8" s="113" t="n">
        <x:f>SUMIFS('Transaction Data'!$G$4:$G$441,'Transaction Data'!$C$4:$C$441,A8)</x:f>
        <x:v>417</x:v>
      </x:c>
    </x:row>
    <x:row r="9">
      <x:c r="A9" s="109" t="str">
        <x:v>Customer 06</x:v>
      </x:c>
      <x:c r="B9" s="110" t="n">
        <x:f>SUMIFS('Transaction Data'!$J$4:$J$441,'Transaction Data'!$C$4:$C$441,A9)</x:f>
        <x:v>223917.10627701416</x:v>
      </x:c>
      <x:c r="C9" s="110" t="n">
        <x:f>SUMIFS('Transaction Data'!$K$4:$K$441,'Transaction Data'!$C$4:$C$441,A9)</x:f>
        <x:v>79983.16570653624</x:v>
      </x:c>
      <x:c r="D9" s="110" t="n">
        <x:f>SUMIFS('Transaction Data'!$L$4:$L$441,'Transaction Data'!$C$4:$C$441,A9)</x:f>
        <x:v>143933.94057047795</x:v>
      </x:c>
      <x:c r="E9" s="111" t="n">
        <x:f>IFERROR(D9/B9,0)</x:f>
        <x:v>0.6428001101104496</x:v>
      </x:c>
      <x:c r="F9" s="113" t="n">
        <x:f>SUMIFS('Transaction Data'!$G$4:$G$441,'Transaction Data'!$C$4:$C$441,A9)</x:f>
        <x:v>460</x:v>
      </x:c>
    </x:row>
    <x:row r="10">
      <x:c r="A10" s="109" t="str">
        <x:v>Customer 07</x:v>
      </x:c>
      <x:c r="B10" s="110" t="n">
        <x:f>SUMIFS('Transaction Data'!$J$4:$J$441,'Transaction Data'!$C$4:$C$441,A10)</x:f>
        <x:v>205243.78343225847</x:v>
      </x:c>
      <x:c r="C10" s="110" t="n">
        <x:f>SUMIFS('Transaction Data'!$K$4:$K$441,'Transaction Data'!$C$4:$C$441,A10)</x:f>
        <x:v>82424.03651983722</x:v>
      </x:c>
      <x:c r="D10" s="110" t="n">
        <x:f>SUMIFS('Transaction Data'!$L$4:$L$441,'Transaction Data'!$C$4:$C$441,A10)</x:f>
        <x:v>122819.74691242125</x:v>
      </x:c>
      <x:c r="E10" s="111" t="n">
        <x:f>IFERROR(D10/B10,0)</x:f>
        <x:v>0.5984090960443554</x:v>
      </x:c>
      <x:c r="F10" s="113" t="n">
        <x:f>SUMIFS('Transaction Data'!$G$4:$G$441,'Transaction Data'!$C$4:$C$441,A10)</x:f>
        <x:v>546</x:v>
      </x:c>
    </x:row>
    <x:row r="11">
      <x:c r="A11" s="109" t="str">
        <x:v>Customer 08</x:v>
      </x:c>
      <x:c r="B11" s="110" t="n">
        <x:f>SUMIFS('Transaction Data'!$J$4:$J$441,'Transaction Data'!$C$4:$C$441,A11)</x:f>
        <x:v>195378.72226744928</x:v>
      </x:c>
      <x:c r="C11" s="110" t="n">
        <x:f>SUMIFS('Transaction Data'!$K$4:$K$441,'Transaction Data'!$C$4:$C$441,A11)</x:f>
        <x:v>74482.08602087469</x:v>
      </x:c>
      <x:c r="D11" s="110" t="n">
        <x:f>SUMIFS('Transaction Data'!$L$4:$L$441,'Transaction Data'!$C$4:$C$441,A11)</x:f>
        <x:v>120896.63624657455</x:v>
      </x:c>
      <x:c r="E11" s="111" t="n">
        <x:f>IFERROR(D11/B11,0)</x:f>
        <x:v>0.6187809749368819</x:v>
      </x:c>
      <x:c r="F11" s="113" t="n">
        <x:f>SUMIFS('Transaction Data'!$G$4:$G$441,'Transaction Data'!$C$4:$C$441,A11)</x:f>
        <x:v>472</x:v>
      </x:c>
    </x:row>
    <x:row r="12">
      <x:c r="A12" s="109" t="str">
        <x:v>Customer 09</x:v>
      </x:c>
      <x:c r="B12" s="110" t="n">
        <x:f>SUMIFS('Transaction Data'!$J$4:$J$441,'Transaction Data'!$C$4:$C$441,A12)</x:f>
        <x:v>180568.1859222123</x:v>
      </x:c>
      <x:c r="C12" s="110" t="n">
        <x:f>SUMIFS('Transaction Data'!$K$4:$K$441,'Transaction Data'!$C$4:$C$441,A12)</x:f>
        <x:v>70474.45693801895</x:v>
      </x:c>
      <x:c r="D12" s="110" t="n">
        <x:f>SUMIFS('Transaction Data'!$L$4:$L$441,'Transaction Data'!$C$4:$C$441,A12)</x:f>
        <x:v>110093.72898419337</x:v>
      </x:c>
      <x:c r="E12" s="111" t="n">
        <x:f>IFERROR(D12/B12,0)</x:f>
        <x:v>0.6097072328766768</x:v>
      </x:c>
      <x:c r="F12" s="113" t="n">
        <x:f>SUMIFS('Transaction Data'!$G$4:$G$441,'Transaction Data'!$C$4:$C$441,A12)</x:f>
        <x:v>471</x:v>
      </x:c>
    </x:row>
    <x:row r="13">
      <x:c r="A13" s="109" t="str">
        <x:v>Customer 10</x:v>
      </x:c>
      <x:c r="B13" s="110" t="n">
        <x:f>SUMIFS('Transaction Data'!$J$4:$J$441,'Transaction Data'!$C$4:$C$441,A13)</x:f>
        <x:v>183249.26233572728</x:v>
      </x:c>
      <x:c r="C13" s="110" t="n">
        <x:f>SUMIFS('Transaction Data'!$K$4:$K$441,'Transaction Data'!$C$4:$C$441,A13)</x:f>
        <x:v>68461.93981862371</x:v>
      </x:c>
      <x:c r="D13" s="110" t="n">
        <x:f>SUMIFS('Transaction Data'!$L$4:$L$441,'Transaction Data'!$C$4:$C$441,A13)</x:f>
        <x:v>114787.32251710356</x:v>
      </x:c>
      <x:c r="E13" s="111" t="n">
        <x:f>IFERROR(D13/B13,0)</x:f>
        <x:v>0.6263999159069138</x:v>
      </x:c>
      <x:c r="F13" s="113" t="n">
        <x:f>SUMIFS('Transaction Data'!$G$4:$G$441,'Transaction Data'!$C$4:$C$441,A13)</x:f>
        <x:v>455</x:v>
      </x:c>
    </x:row>
    <x:row r="14">
      <x:c r="A14" s="109" t="str">
        <x:v>Customer 11</x:v>
      </x:c>
      <x:c r="B14" s="110" t="n">
        <x:f>SUMIFS('Transaction Data'!$J$4:$J$441,'Transaction Data'!$C$4:$C$441,A14)</x:f>
        <x:v>170167.51996074052</x:v>
      </x:c>
      <x:c r="C14" s="110" t="n">
        <x:f>SUMIFS('Transaction Data'!$K$4:$K$441,'Transaction Data'!$C$4:$C$441,A14)</x:f>
        <x:v>66911.00827193522</x:v>
      </x:c>
      <x:c r="D14" s="110" t="n">
        <x:f>SUMIFS('Transaction Data'!$L$4:$L$441,'Transaction Data'!$C$4:$C$441,A14)</x:f>
        <x:v>103256.5116888053</x:v>
      </x:c>
      <x:c r="E14" s="111" t="n">
        <x:f>IFERROR(D14/B14,0)</x:f>
        <x:v>0.6067933041077856</x:v>
      </x:c>
      <x:c r="F14" s="113" t="n">
        <x:f>SUMIFS('Transaction Data'!$G$4:$G$441,'Transaction Data'!$C$4:$C$441,A14)</x:f>
        <x:v>461</x:v>
      </x:c>
    </x:row>
    <x:row r="15">
      <x:c r="A15" s="109" t="str">
        <x:v>Customer 12</x:v>
      </x:c>
      <x:c r="B15" s="110" t="n">
        <x:f>SUMIFS('Transaction Data'!$J$4:$J$441,'Transaction Data'!$C$4:$C$441,A15)</x:f>
        <x:v>198078.00589561777</x:v>
      </x:c>
      <x:c r="C15" s="110" t="n">
        <x:f>SUMIFS('Transaction Data'!$K$4:$K$441,'Transaction Data'!$C$4:$C$441,A15)</x:f>
        <x:v>67837.76007199436</x:v>
      </x:c>
      <x:c r="D15" s="110" t="n">
        <x:f>SUMIFS('Transaction Data'!$L$4:$L$441,'Transaction Data'!$C$4:$C$441,A15)</x:f>
        <x:v>130240.2458236234</x:v>
      </x:c>
      <x:c r="E15" s="111" t="n">
        <x:f>IFERROR(D15/B15,0)</x:f>
        <x:v>0.6575199767118859</x:v>
      </x:c>
      <x:c r="F15" s="113" t="n">
        <x:f>SUMIFS('Transaction Data'!$G$4:$G$441,'Transaction Data'!$C$4:$C$441,A15)</x:f>
        <x:v>394</x:v>
      </x:c>
    </x:row>
    <x:row r="16">
      <x:c r="A16" s="109" t="str">
        <x:v>Customer 13</x:v>
      </x:c>
      <x:c r="B16" s="110" t="n">
        <x:f>SUMIFS('Transaction Data'!$J$4:$J$441,'Transaction Data'!$C$4:$C$441,A16)</x:f>
        <x:v>158690.40215678507</x:v>
      </x:c>
      <x:c r="C16" s="110" t="n">
        <x:f>SUMIFS('Transaction Data'!$K$4:$K$441,'Transaction Data'!$C$4:$C$441,A16)</x:f>
        <x:v>62780.43744072619</x:v>
      </x:c>
      <x:c r="D16" s="110" t="n">
        <x:f>SUMIFS('Transaction Data'!$L$4:$L$441,'Transaction Data'!$C$4:$C$441,A16)</x:f>
        <x:v>95909.96471605891</x:v>
      </x:c>
      <x:c r="E16" s="111" t="n">
        <x:f>IFERROR(D16/B16,0)</x:f>
        <x:v>0.604384155642258</x:v>
      </x:c>
      <x:c r="F16" s="113" t="n">
        <x:f>SUMIFS('Transaction Data'!$G$4:$G$441,'Transaction Data'!$C$4:$C$441,A16)</x:f>
        <x:v>429</x:v>
      </x:c>
    </x:row>
    <x:row r="17">
      <x:c r="A17" s="109" t="str">
        <x:v>Customer 14</x:v>
      </x:c>
      <x:c r="B17" s="110" t="n">
        <x:f>SUMIFS('Transaction Data'!$J$4:$J$441,'Transaction Data'!$C$4:$C$441,A17)</x:f>
        <x:v>195961.8878455939</x:v>
      </x:c>
      <x:c r="C17" s="110" t="n">
        <x:f>SUMIFS('Transaction Data'!$K$4:$K$441,'Transaction Data'!$C$4:$C$441,A17)</x:f>
        <x:v>71032.5914499689</x:v>
      </x:c>
      <x:c r="D17" s="110" t="n">
        <x:f>SUMIFS('Transaction Data'!$L$4:$L$441,'Transaction Data'!$C$4:$C$441,A17)</x:f>
        <x:v>124929.29639562505</x:v>
      </x:c>
      <x:c r="E17" s="111" t="n">
        <x:f>IFERROR(D17/B17,0)</x:f>
        <x:v>0.6375183346573072</x:v>
      </x:c>
      <x:c r="F17" s="113" t="n">
        <x:f>SUMIFS('Transaction Data'!$G$4:$G$441,'Transaction Data'!$C$4:$C$441,A17)</x:f>
        <x:v>450</x:v>
      </x:c>
    </x:row>
    <x:row r="18">
      <x:c r="A18" s="109" t="str">
        <x:v>Customer 15</x:v>
      </x:c>
      <x:c r="B18" s="110" t="n">
        <x:f>SUMIFS('Transaction Data'!$J$4:$J$441,'Transaction Data'!$C$4:$C$441,A18)</x:f>
        <x:v>144461.55169356265</x:v>
      </x:c>
      <x:c r="C18" s="110" t="n">
        <x:f>SUMIFS('Transaction Data'!$K$4:$K$441,'Transaction Data'!$C$4:$C$441,A18)</x:f>
        <x:v>57466.73892366166</x:v>
      </x:c>
      <x:c r="D18" s="110" t="n">
        <x:f>SUMIFS('Transaction Data'!$L$4:$L$441,'Transaction Data'!$C$4:$C$441,A18)</x:f>
        <x:v>86994.81276990101</x:v>
      </x:c>
      <x:c r="E18" s="111" t="n">
        <x:f>IFERROR(D18/B18,0)</x:f>
        <x:v>0.6022004592227953</x:v>
      </x:c>
      <x:c r="F18" s="113" t="n">
        <x:f>SUMIFS('Transaction Data'!$G$4:$G$441,'Transaction Data'!$C$4:$C$441,A18)</x:f>
        <x:v>377</x:v>
      </x:c>
    </x:row>
    <x:row r="19">
      <x:c r="A19" s="109" t="str">
        <x:v>Customer 16</x:v>
      </x:c>
      <x:c r="B19" s="110" t="n">
        <x:f>SUMIFS('Transaction Data'!$J$4:$J$441,'Transaction Data'!$C$4:$C$441,A19)</x:f>
        <x:v>208994.9062667435</x:v>
      </x:c>
      <x:c r="C19" s="110" t="n">
        <x:f>SUMIFS('Transaction Data'!$K$4:$K$441,'Transaction Data'!$C$4:$C$441,A19)</x:f>
        <x:v>71489.51994978148</x:v>
      </x:c>
      <x:c r="D19" s="110" t="n">
        <x:f>SUMIFS('Transaction Data'!$L$4:$L$441,'Transaction Data'!$C$4:$C$441,A19)</x:f>
        <x:v>137505.38631696205</x:v>
      </x:c>
      <x:c r="E19" s="111" t="n">
        <x:f>IFERROR(D19/B19,0)</x:f>
        <x:v>0.6579365438766328</x:v>
      </x:c>
      <x:c r="F19" s="113" t="n">
        <x:f>SUMIFS('Transaction Data'!$G$4:$G$441,'Transaction Data'!$C$4:$C$441,A19)</x:f>
        <x:v>416</x:v>
      </x:c>
    </x:row>
    <x:row r="20">
      <x:c r="A20" s="109" t="str">
        <x:v>Customer 17</x:v>
      </x:c>
      <x:c r="B20" s="110" t="n">
        <x:f>SUMIFS('Transaction Data'!$J$4:$J$441,'Transaction Data'!$C$4:$C$441,A20)</x:f>
        <x:v>150350.18311590247</x:v>
      </x:c>
      <x:c r="C20" s="110" t="n">
        <x:f>SUMIFS('Transaction Data'!$K$4:$K$441,'Transaction Data'!$C$4:$C$441,A20)</x:f>
        <x:v>61103.66233990182</x:v>
      </x:c>
      <x:c r="D20" s="110" t="n">
        <x:f>SUMIFS('Transaction Data'!$L$4:$L$441,'Transaction Data'!$C$4:$C$441,A20)</x:f>
        <x:v>89246.52077600065</x:v>
      </x:c>
      <x:c r="E20" s="111" t="n">
        <x:f>IFERROR(D20/B20,0)</x:f>
        <x:v>0.5935910347857839</x:v>
      </x:c>
      <x:c r="F20" s="113" t="n">
        <x:f>SUMIFS('Transaction Data'!$G$4:$G$441,'Transaction Data'!$C$4:$C$441,A20)</x:f>
        <x:v>430</x:v>
      </x:c>
    </x:row>
    <x:row r="21">
      <x:c r="A21" s="109" t="str">
        <x:v>Customer 18</x:v>
      </x:c>
      <x:c r="B21" s="110" t="n">
        <x:f>SUMIFS('Transaction Data'!$J$4:$J$441,'Transaction Data'!$C$4:$C$441,A21)</x:f>
        <x:v>163767.7792084912</x:v>
      </x:c>
      <x:c r="C21" s="110" t="n">
        <x:f>SUMIFS('Transaction Data'!$K$4:$K$441,'Transaction Data'!$C$4:$C$441,A21)</x:f>
        <x:v>62020.30101903775</x:v>
      </x:c>
      <x:c r="D21" s="110" t="n">
        <x:f>SUMIFS('Transaction Data'!$L$4:$L$441,'Transaction Data'!$C$4:$C$441,A21)</x:f>
        <x:v>101747.47818945342</x:v>
      </x:c>
      <x:c r="E21" s="111" t="n">
        <x:f>IFERROR(D21/B21,0)</x:f>
        <x:v>0.6212911885427699</x:v>
      </x:c>
      <x:c r="F21" s="113" t="n">
        <x:f>SUMIFS('Transaction Data'!$G$4:$G$441,'Transaction Data'!$C$4:$C$441,A21)</x:f>
        <x:v>426</x:v>
      </x:c>
    </x:row>
    <x:row r="22">
      <x:c r="A22" s="109" t="str">
        <x:v>Customer 19</x:v>
      </x:c>
      <x:c r="B22" s="110" t="n">
        <x:f>SUMIFS('Transaction Data'!$J$4:$J$441,'Transaction Data'!$C$4:$C$441,A22)</x:f>
        <x:v>190197.0916009787</x:v>
      </x:c>
      <x:c r="C22" s="110" t="n">
        <x:f>SUMIFS('Transaction Data'!$K$4:$K$441,'Transaction Data'!$C$4:$C$441,A22)</x:f>
        <x:v>74225.58788388615</x:v>
      </x:c>
      <x:c r="D22" s="110" t="n">
        <x:f>SUMIFS('Transaction Data'!$L$4:$L$441,'Transaction Data'!$C$4:$C$441,A22)</x:f>
        <x:v>115971.50371709255</x:v>
      </x:c>
      <x:c r="E22" s="111" t="n">
        <x:f>IFERROR(D22/B22,0)</x:f>
        <x:v>0.6097438333094669</x:v>
      </x:c>
      <x:c r="F22" s="113" t="n">
        <x:f>SUMIFS('Transaction Data'!$G$4:$G$441,'Transaction Data'!$C$4:$C$441,A22)</x:f>
        <x:v>509</x:v>
      </x:c>
    </x:row>
    <x:row r="23">
      <x:c r="A23" s="109" t="str">
        <x:v>Customer 20</x:v>
      </x:c>
      <x:c r="B23" s="110" t="n">
        <x:f>SUMIFS('Transaction Data'!$J$4:$J$441,'Transaction Data'!$C$4:$C$441,A23)</x:f>
        <x:v>226455.4351648733</x:v>
      </x:c>
      <x:c r="C23" s="110" t="n">
        <x:f>SUMIFS('Transaction Data'!$K$4:$K$441,'Transaction Data'!$C$4:$C$441,A23)</x:f>
        <x:v>80782.81832521116</x:v>
      </x:c>
      <x:c r="D23" s="110" t="n">
        <x:f>SUMIFS('Transaction Data'!$L$4:$L$441,'Transaction Data'!$C$4:$C$441,A23)</x:f>
        <x:v>145672.6168396621</x:v>
      </x:c>
      <x:c r="E23" s="111" t="n">
        <x:f>IFERROR(D23/B23,0)</x:f>
        <x:v>0.6432727778584938</x:v>
      </x:c>
      <x:c r="F23" s="113" t="n">
        <x:f>SUMIFS('Transaction Data'!$G$4:$G$441,'Transaction Data'!$C$4:$C$441,A23)</x:f>
        <x:v>456</x:v>
      </x:c>
    </x:row>
    <x:row r="24">
      <x:c r="A24" s="109" t="str">
        <x:v>Customer 21</x:v>
      </x:c>
      <x:c r="B24" s="110" t="n">
        <x:f>SUMIFS('Transaction Data'!$J$4:$J$441,'Transaction Data'!$C$4:$C$441,A24)</x:f>
        <x:v>149321.39577383766</x:v>
      </x:c>
      <x:c r="C24" s="110" t="n">
        <x:f>SUMIFS('Transaction Data'!$K$4:$K$441,'Transaction Data'!$C$4:$C$441,A24)</x:f>
        <x:v>59164.810294841605</x:v>
      </x:c>
      <x:c r="D24" s="110" t="n">
        <x:f>SUMIFS('Transaction Data'!$L$4:$L$441,'Transaction Data'!$C$4:$C$441,A24)</x:f>
        <x:v>90156.58547899604</x:v>
      </x:c>
      <x:c r="E24" s="111" t="n">
        <x:f>IFERROR(D24/B24,0)</x:f>
        <x:v>0.6037754001144437</x:v>
      </x:c>
      <x:c r="F24" s="113" t="n">
        <x:f>SUMIFS('Transaction Data'!$G$4:$G$441,'Transaction Data'!$C$4:$C$441,A24)</x:f>
        <x:v>385</x:v>
      </x:c>
    </x:row>
    <x:row r="25">
      <x:c r="A25" s="109" t="str">
        <x:v>Customer 22</x:v>
      </x:c>
      <x:c r="B25" s="110" t="n">
        <x:f>SUMIFS('Transaction Data'!$J$4:$J$441,'Transaction Data'!$C$4:$C$441,A25)</x:f>
        <x:v>227295.1484835073</x:v>
      </x:c>
      <x:c r="C25" s="110" t="n">
        <x:f>SUMIFS('Transaction Data'!$K$4:$K$441,'Transaction Data'!$C$4:$C$441,A25)</x:f>
        <x:v>80857.85303016855</x:v>
      </x:c>
      <x:c r="D25" s="110" t="n">
        <x:f>SUMIFS('Transaction Data'!$L$4:$L$441,'Transaction Data'!$C$4:$C$441,A25)</x:f>
        <x:v>146437.29545333877</x:v>
      </x:c>
      <x:c r="E25" s="111" t="n">
        <x:f>IFERROR(D25/B25,0)</x:f>
        <x:v>0.6442605415485336</x:v>
      </x:c>
      <x:c r="F25" s="113" t="n">
        <x:f>SUMIFS('Transaction Data'!$G$4:$G$441,'Transaction Data'!$C$4:$C$441,A25)</x:f>
        <x:v>446</x:v>
      </x:c>
    </x:row>
    <x:row r="26">
      <x:c r="A26" s="109" t="str">
        <x:v>Customer 23</x:v>
      </x:c>
      <x:c r="B26" s="110" t="n">
        <x:f>SUMIFS('Transaction Data'!$J$4:$J$441,'Transaction Data'!$C$4:$C$441,A26)</x:f>
        <x:v>153975.50904927796</x:v>
      </x:c>
      <x:c r="C26" s="110" t="n">
        <x:f>SUMIFS('Transaction Data'!$K$4:$K$441,'Transaction Data'!$C$4:$C$441,A26)</x:f>
        <x:v>62529.39353562826</x:v>
      </x:c>
      <x:c r="D26" s="110" t="n">
        <x:f>SUMIFS('Transaction Data'!$L$4:$L$441,'Transaction Data'!$C$4:$C$441,A26)</x:f>
        <x:v>91446.11551364968</x:v>
      </x:c>
      <x:c r="E26" s="111" t="n">
        <x:f>IFERROR(D26/B26,0)</x:f>
        <x:v>0.5939003941489389</x:v>
      </x:c>
      <x:c r="F26" s="113" t="n">
        <x:f>SUMIFS('Transaction Data'!$G$4:$G$441,'Transaction Data'!$C$4:$C$441,A26)</x:f>
        <x:v>424</x:v>
      </x:c>
    </x:row>
    <x:row r="27">
      <x:c r="A27" s="109" t="str">
        <x:v>Customer 24</x:v>
      </x:c>
      <x:c r="B27" s="110" t="n">
        <x:f>SUMIFS('Transaction Data'!$J$4:$J$441,'Transaction Data'!$C$4:$C$441,A27)</x:f>
        <x:v>196579.92011169903</x:v>
      </x:c>
      <x:c r="C27" s="110" t="n">
        <x:f>SUMIFS('Transaction Data'!$K$4:$K$441,'Transaction Data'!$C$4:$C$441,A27)</x:f>
        <x:v>70832.85213026674</x:v>
      </x:c>
      <x:c r="D27" s="110" t="n">
        <x:f>SUMIFS('Transaction Data'!$L$4:$L$441,'Transaction Data'!$C$4:$C$441,A27)</x:f>
        <x:v>125747.06798143228</x:v>
      </x:c>
      <x:c r="E27" s="111" t="n">
        <x:f>IFERROR(D27/B27,0)</x:f>
        <x:v>0.6396740211817225</x:v>
      </x:c>
      <x:c r="F27" s="113" t="n">
        <x:f>SUMIFS('Transaction Data'!$G$4:$G$441,'Transaction Data'!$C$4:$C$441,A27)</x:f>
        <x:v>419</x:v>
      </x:c>
    </x:row>
    <x:row r="28">
      <x:c r="A28" s="109" t="str">
        <x:v>Customer 25</x:v>
      </x:c>
      <x:c r="B28" s="110" t="n">
        <x:f>SUMIFS('Transaction Data'!$J$4:$J$441,'Transaction Data'!$C$4:$C$441,A28)</x:f>
        <x:v>159473.8936499349</x:v>
      </x:c>
      <x:c r="C28" s="110" t="n">
        <x:f>SUMIFS('Transaction Data'!$K$4:$K$441,'Transaction Data'!$C$4:$C$441,A28)</x:f>
        <x:v>61210.31444537071</x:v>
      </x:c>
      <x:c r="D28" s="110" t="n">
        <x:f>SUMIFS('Transaction Data'!$L$4:$L$441,'Transaction Data'!$C$4:$C$441,A28)</x:f>
        <x:v>98263.57920456419</x:v>
      </x:c>
      <x:c r="E28" s="111" t="n">
        <x:f>IFERROR(D28/B28,0)</x:f>
        <x:v>0.61617344980781</x:v>
      </x:c>
      <x:c r="F28" s="113" t="n">
        <x:f>SUMIFS('Transaction Data'!$G$4:$G$441,'Transaction Data'!$C$4:$C$441,A28)</x:f>
        <x:v>415</x:v>
      </x:c>
    </x:row>
    <x:row r="29">
      <x:c r="A29" s="109" t="str">
        <x:v>Customer 26</x:v>
      </x:c>
      <x:c r="B29" s="110" t="n">
        <x:f>SUMIFS('Transaction Data'!$J$4:$J$441,'Transaction Data'!$C$4:$C$441,A29)</x:f>
        <x:v>219862.80765218782</x:v>
      </x:c>
      <x:c r="C29" s="110" t="n">
        <x:f>SUMIFS('Transaction Data'!$K$4:$K$441,'Transaction Data'!$C$4:$C$441,A29)</x:f>
        <x:v>75530.79304045219</x:v>
      </x:c>
      <x:c r="D29" s="110" t="n">
        <x:f>SUMIFS('Transaction Data'!$L$4:$L$441,'Transaction Data'!$C$4:$C$441,A29)</x:f>
        <x:v>144332.01461173565</x:v>
      </x:c>
      <x:c r="E29" s="111" t="n">
        <x:f>IFERROR(D29/B29,0)</x:f>
        <x:v>0.6564639838497005</x:v>
      </x:c>
      <x:c r="F29" s="113" t="n">
        <x:f>SUMIFS('Transaction Data'!$G$4:$G$441,'Transaction Data'!$C$4:$C$441,A29)</x:f>
        <x:v>403</x:v>
      </x:c>
    </x:row>
    <x:row r="30">
      <x:c r="A30" s="109" t="str">
        <x:v>Customer 27</x:v>
      </x:c>
      <x:c r="B30" s="110" t="n">
        <x:f>SUMIFS('Transaction Data'!$J$4:$J$441,'Transaction Data'!$C$4:$C$441,A30)</x:f>
        <x:v>137622.80511469312</x:v>
      </x:c>
      <x:c r="C30" s="110" t="n">
        <x:f>SUMIFS('Transaction Data'!$K$4:$K$441,'Transaction Data'!$C$4:$C$441,A30)</x:f>
        <x:v>56366.84932849475</x:v>
      </x:c>
      <x:c r="D30" s="110" t="n">
        <x:f>SUMIFS('Transaction Data'!$L$4:$L$441,'Transaction Data'!$C$4:$C$441,A30)</x:f>
        <x:v>81255.95578619835</x:v>
      </x:c>
      <x:c r="E30" s="111" t="n">
        <x:f>IFERROR(D30/B30,0)</x:f>
        <x:v>0.5904250804834319</x:v>
      </x:c>
      <x:c r="F30" s="113" t="n">
        <x:f>SUMIFS('Transaction Data'!$G$4:$G$441,'Transaction Data'!$C$4:$C$441,A30)</x:f>
        <x:v>389</x:v>
      </x:c>
    </x:row>
    <x:row r="31">
      <x:c r="A31" s="109" t="str">
        <x:v>Customer 28</x:v>
      </x:c>
      <x:c r="B31" s="110" t="n">
        <x:f>SUMIFS('Transaction Data'!$J$4:$J$441,'Transaction Data'!$C$4:$C$441,A31)</x:f>
        <x:v>168175.95315867104</x:v>
      </x:c>
      <x:c r="C31" s="110" t="n">
        <x:f>SUMIFS('Transaction Data'!$K$4:$K$441,'Transaction Data'!$C$4:$C$441,A31)</x:f>
        <x:v>63239.703057683386</x:v>
      </x:c>
      <x:c r="D31" s="110" t="n">
        <x:f>SUMIFS('Transaction Data'!$L$4:$L$441,'Transaction Data'!$C$4:$C$441,A31)</x:f>
        <x:v>104936.25010098764</x:v>
      </x:c>
      <x:c r="E31" s="111" t="n">
        <x:f>IFERROR(D31/B31,0)</x:f>
        <x:v>0.6239670305420071</x:v>
      </x:c>
      <x:c r="F31" s="113" t="n">
        <x:f>SUMIFS('Transaction Data'!$G$4:$G$441,'Transaction Data'!$C$4:$C$441,A31)</x:f>
        <x:v>425</x:v>
      </x:c>
    </x:row>
    <x:row r="32">
      <x:c r="A32" s="109" t="str">
        <x:v>Customer 29</x:v>
      </x:c>
      <x:c r="B32" s="110" t="n">
        <x:f>SUMIFS('Transaction Data'!$J$4:$J$441,'Transaction Data'!$C$4:$C$441,A32)</x:f>
        <x:v>178753.14553554537</x:v>
      </x:c>
      <x:c r="C32" s="110" t="n">
        <x:f>SUMIFS('Transaction Data'!$K$4:$K$441,'Transaction Data'!$C$4:$C$441,A32)</x:f>
        <x:v>69358.41215014753</x:v>
      </x:c>
      <x:c r="D32" s="110" t="n">
        <x:f>SUMIFS('Transaction Data'!$L$4:$L$441,'Transaction Data'!$C$4:$C$441,A32)</x:f>
        <x:v>109394.73338539782</x:v>
      </x:c>
      <x:c r="E32" s="111" t="n">
        <x:f>IFERROR(D32/B32,0)</x:f>
        <x:v>0.6119877390557276</x:v>
      </x:c>
      <x:c r="F32" s="113" t="n">
        <x:f>SUMIFS('Transaction Data'!$G$4:$G$441,'Transaction Data'!$C$4:$C$441,A32)</x:f>
        <x:v>449</x:v>
      </x:c>
    </x:row>
    <x:row r="33">
      <x:c r="A33" s="109" t="str">
        <x:v>Customer 30</x:v>
      </x:c>
      <x:c r="B33" s="110" t="n">
        <x:f>SUMIFS('Transaction Data'!$J$4:$J$441,'Transaction Data'!$C$4:$C$441,A33)</x:f>
        <x:v>226097.68863201674</x:v>
      </x:c>
      <x:c r="C33" s="110" t="n">
        <x:f>SUMIFS('Transaction Data'!$K$4:$K$441,'Transaction Data'!$C$4:$C$441,A33)</x:f>
        <x:v>81067.912999661</x:v>
      </x:c>
      <x:c r="D33" s="110" t="n">
        <x:f>SUMIFS('Transaction Data'!$L$4:$L$441,'Transaction Data'!$C$4:$C$441,A33)</x:f>
        <x:v>145029.77563235577</x:v>
      </x:c>
      <x:c r="E33" s="111" t="n">
        <x:f>IFERROR(D33/B33,0)</x:f>
        <x:v>0.6414474049241506</x:v>
      </x:c>
      <x:c r="F33" s="113" t="n">
        <x:f>SUMIFS('Transaction Data'!$G$4:$G$441,'Transaction Data'!$C$4:$C$441,A33)</x:f>
        <x:v>499</x:v>
      </x:c>
    </x:row>
  </x:sheetData>
  <x:mergeCells>
    <x:mergeCell ref="A1:F1"/>
  </x:mergeCells>
  <x:conditionalFormatting sqref="B4:E3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086775a10b042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Product Revenue &amp; Profitability</x:v>
      </x:c>
      <x:c r="B1" s="5"/>
      <x:c r="C1" s="5"/>
      <x:c r="D1" s="5"/>
      <x:c r="E1" s="5"/>
      <x:c r="F1" s="5"/>
    </x:row>
    <x:row r="3">
      <x:c r="A3" s="17" t="str">
        <x:v>Product</x:v>
      </x:c>
      <x:c r="B3" s="17" t="str">
        <x:v>Revenue</x:v>
      </x:c>
      <x:c r="C3" s="17" t="str">
        <x:v>COGS</x:v>
      </x:c>
      <x:c r="D3" s="17" t="str">
        <x:v>Gross Profit</x:v>
      </x:c>
      <x:c r="E3" s="17" t="str">
        <x:v>Gross Margin</x:v>
      </x:c>
      <x:c r="F3" s="17" t="str">
        <x:v>Units</x:v>
      </x:c>
    </x:row>
    <x:row r="4">
      <x:c r="A4" s="109" t="str">
        <x:v>Analytics Pro</x:v>
      </x:c>
      <x:c r="B4" s="110" t="n">
        <x:f>SUMIFS('Transaction Data'!$J$4:$J$441,'Transaction Data'!$F$4:$F$441,A4)</x:f>
        <x:v>1441761.7522401852</x:v>
      </x:c>
      <x:c r="C4" s="110" t="n">
        <x:f>SUMIFS('Transaction Data'!$K$4:$K$441,'Transaction Data'!$F$4:$F$441,A4)</x:f>
        <x:v>543755.57493774</x:v>
      </x:c>
      <x:c r="D4" s="110" t="n">
        <x:f>SUMIFS('Transaction Data'!$L$4:$L$441,'Transaction Data'!$F$4:$F$441,A4)</x:f>
        <x:v>898006.1773024449</x:v>
      </x:c>
      <x:c r="E4" s="111" t="n">
        <x:f>IFERROR(D4/B4,0)</x:f>
        <x:v>0.622853377756164</x:v>
      </x:c>
      <x:c r="F4" s="113" t="n">
        <x:f>SUMIFS('Transaction Data'!$G$4:$G$441,'Transaction Data'!$F$4:$F$441,A4)</x:f>
        <x:v>3357</x:v>
      </x:c>
    </x:row>
    <x:row r="5">
      <x:c r="A5" s="109" t="str">
        <x:v>Finance Cloud</x:v>
      </x:c>
      <x:c r="B5" s="110" t="n">
        <x:f>SUMIFS('Transaction Data'!$J$4:$J$441,'Transaction Data'!$F$4:$F$441,A5)</x:f>
        <x:v>2222055.260568892</x:v>
      </x:c>
      <x:c r="C5" s="110" t="n">
        <x:f>SUMIFS('Transaction Data'!$K$4:$K$441,'Transaction Data'!$F$4:$F$441,A5)</x:f>
        <x:v>708456.3303455462</x:v>
      </x:c>
      <x:c r="D5" s="110" t="n">
        <x:f>SUMIFS('Transaction Data'!$L$4:$L$441,'Transaction Data'!$F$4:$F$441,A5)</x:f>
        <x:v>1513598.9302233467</x:v>
      </x:c>
      <x:c r="E5" s="111" t="n">
        <x:f>IFERROR(D5/B5,0)</x:f>
        <x:v>0.6811706968240898</x:v>
      </x:c>
      <x:c r="F5" s="113" t="n">
        <x:f>SUMIFS('Transaction Data'!$G$4:$G$441,'Transaction Data'!$F$4:$F$441,A5)</x:f>
        <x:v>3297</x:v>
      </x:c>
    </x:row>
    <x:row r="6">
      <x:c r="A6" s="109" t="str">
        <x:v>Reporting Suite</x:v>
      </x:c>
      <x:c r="B6" s="110" t="n">
        <x:f>SUMIFS('Transaction Data'!$J$4:$J$441,'Transaction Data'!$F$4:$F$441,A6)</x:f>
        <x:v>1017653.1729468178</x:v>
      </x:c>
      <x:c r="C6" s="110" t="n">
        <x:f>SUMIFS('Transaction Data'!$K$4:$K$441,'Transaction Data'!$F$4:$F$441,A6)</x:f>
        <x:v>428965.5785428345</x:v>
      </x:c>
      <x:c r="D6" s="110" t="n">
        <x:f>SUMIFS('Transaction Data'!$L$4:$L$441,'Transaction Data'!$F$4:$F$441,A6)</x:f>
        <x:v>588687.594403983</x:v>
      </x:c>
      <x:c r="E6" s="111" t="n">
        <x:f>IFERROR(D6/B6,0)</x:f>
        <x:v>0.5784756634712007</x:v>
      </x:c>
      <x:c r="F6" s="113" t="n">
        <x:f>SUMIFS('Transaction Data'!$G$4:$G$441,'Transaction Data'!$F$4:$F$441,A6)</x:f>
        <x:v>3189</x:v>
      </x:c>
    </x:row>
    <x:row r="7">
      <x:c r="A7" s="109" t="str">
        <x:v>Data Connect</x:v>
      </x:c>
      <x:c r="B7" s="110" t="n">
        <x:f>SUMIFS('Transaction Data'!$J$4:$J$441,'Transaction Data'!$F$4:$F$441,A7)</x:f>
        <x:v>796875.3506469774</x:v>
      </x:c>
      <x:c r="C7" s="110" t="n">
        <x:f>SUMIFS('Transaction Data'!$K$4:$K$441,'Transaction Data'!$F$4:$F$441,A7)</x:f>
        <x:v>375908.1654863138</x:v>
      </x:c>
      <x:c r="D7" s="110" t="n">
        <x:f>SUMIFS('Transaction Data'!$L$4:$L$441,'Transaction Data'!$F$4:$F$441,A7)</x:f>
        <x:v>420967.1851606633</x:v>
      </x:c>
      <x:c r="E7" s="111" t="n">
        <x:f>IFERROR(D7/B7,0)</x:f>
        <x:v>0.5282723136295822</x:v>
      </x:c>
      <x:c r="F7" s="113" t="n">
        <x:f>SUMIFS('Transaction Data'!$G$4:$G$441,'Transaction Data'!$F$4:$F$441,A7)</x:f>
        <x:v>3262</x:v>
      </x:c>
    </x:row>
  </x:sheetData>
  <x:mergeCells>
    <x:mergeCell ref="A1:F1"/>
  </x:mergeCells>
  <x:conditionalFormatting sqref="B4:E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3608eeb99ce47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Regional Revenue &amp; Profitability</x:v>
      </x:c>
      <x:c r="B1" s="5"/>
      <x:c r="C1" s="5"/>
      <x:c r="D1" s="5"/>
      <x:c r="E1" s="5"/>
      <x:c r="F1" s="5"/>
    </x:row>
    <x:row r="3">
      <x:c r="A3" s="17" t="str">
        <x:v>Region</x:v>
      </x:c>
      <x:c r="B3" s="17" t="str">
        <x:v>Revenue</x:v>
      </x:c>
      <x:c r="C3" s="17" t="str">
        <x:v>COGS</x:v>
      </x:c>
      <x:c r="D3" s="17" t="str">
        <x:v>Gross Profit</x:v>
      </x:c>
      <x:c r="E3" s="17" t="str">
        <x:v>Gross Margin</x:v>
      </x:c>
      <x:c r="F3" s="17" t="str">
        <x:v>Units</x:v>
      </x:c>
    </x:row>
    <x:row r="4">
      <x:c r="A4" s="109" t="str">
        <x:v>Northeast</x:v>
      </x:c>
      <x:c r="B4" s="110" t="n">
        <x:f>SUMIFS('Transaction Data'!$J$4:$J$441,'Transaction Data'!$E$4:$E$441,A4)</x:f>
        <x:v>1175639.0814149503</x:v>
      </x:c>
      <x:c r="C4" s="110" t="n">
        <x:f>SUMIFS('Transaction Data'!$K$4:$K$441,'Transaction Data'!$E$4:$E$441,A4)</x:f>
        <x:v>464339.7231001424</x:v>
      </x:c>
      <x:c r="D4" s="110" t="n">
        <x:f>SUMIFS('Transaction Data'!$L$4:$L$441,'Transaction Data'!$E$4:$E$441,A4)</x:f>
        <x:v>711299.3583148074</x:v>
      </x:c>
      <x:c r="E4" s="111" t="n">
        <x:f>IFERROR(D4/B4,0)</x:f>
        <x:v>0.6050320796232098</x:v>
      </x:c>
      <x:c r="F4" s="113" t="n">
        <x:f>SUMIFS('Transaction Data'!$G$4:$G$441,'Transaction Data'!$E$4:$E$441,A4)</x:f>
        <x:v>3133</x:v>
      </x:c>
    </x:row>
    <x:row r="5">
      <x:c r="A5" s="109" t="str">
        <x:v>Midwest</x:v>
      </x:c>
      <x:c r="B5" s="110" t="n">
        <x:f>SUMIFS('Transaction Data'!$J$4:$J$441,'Transaction Data'!$E$4:$E$441,A5)</x:f>
        <x:v>1497585.9754288106</x:v>
      </x:c>
      <x:c r="C5" s="110" t="n">
        <x:f>SUMIFS('Transaction Data'!$K$4:$K$441,'Transaction Data'!$E$4:$E$441,A5)</x:f>
        <x:v>531964.837658711</x:v>
      </x:c>
      <x:c r="D5" s="110" t="n">
        <x:f>SUMIFS('Transaction Data'!$L$4:$L$441,'Transaction Data'!$E$4:$E$441,A5)</x:f>
        <x:v>965621.1377700991</x:v>
      </x:c>
      <x:c r="E5" s="111" t="n">
        <x:f>IFERROR(D5/B5,0)</x:f>
        <x:v>0.6447851099123765</x:v>
      </x:c>
      <x:c r="F5" s="113" t="n">
        <x:f>SUMIFS('Transaction Data'!$G$4:$G$441,'Transaction Data'!$E$4:$E$441,A5)</x:f>
        <x:v>3204</x:v>
      </x:c>
    </x:row>
    <x:row r="6">
      <x:c r="A6" s="109" t="str">
        <x:v>South</x:v>
      </x:c>
      <x:c r="B6" s="110" t="n">
        <x:f>SUMIFS('Transaction Data'!$J$4:$J$441,'Transaction Data'!$E$4:$E$441,A6)</x:f>
        <x:v>1283775.8437720533</x:v>
      </x:c>
      <x:c r="C6" s="110" t="n">
        <x:f>SUMIFS('Transaction Data'!$K$4:$K$441,'Transaction Data'!$E$4:$E$441,A6)</x:f>
        <x:v>508381.430380432</x:v>
      </x:c>
      <x:c r="D6" s="110" t="n">
        <x:f>SUMIFS('Transaction Data'!$L$4:$L$441,'Transaction Data'!$E$4:$E$441,A6)</x:f>
        <x:v>775394.4133916209</x:v>
      </x:c>
      <x:c r="E6" s="111" t="n">
        <x:f>IFERROR(D6/B6,0)</x:f>
        <x:v>0.6039951734200878</x:v>
      </x:c>
      <x:c r="F6" s="113" t="n">
        <x:f>SUMIFS('Transaction Data'!$G$4:$G$441,'Transaction Data'!$E$4:$E$441,A6)</x:f>
        <x:v>3413</x:v>
      </x:c>
    </x:row>
    <x:row r="7">
      <x:c r="A7" s="109" t="str">
        <x:v>West</x:v>
      </x:c>
      <x:c r="B7" s="110" t="n">
        <x:f>SUMIFS('Transaction Data'!$J$4:$J$441,'Transaction Data'!$E$4:$E$441,A7)</x:f>
        <x:v>1521344.6357870589</x:v>
      </x:c>
      <x:c r="C7" s="110" t="n">
        <x:f>SUMIFS('Transaction Data'!$K$4:$K$441,'Transaction Data'!$E$4:$E$441,A7)</x:f>
        <x:v>552399.658173149</x:v>
      </x:c>
      <x:c r="D7" s="110" t="n">
        <x:f>SUMIFS('Transaction Data'!$L$4:$L$441,'Transaction Data'!$E$4:$E$441,A7)</x:f>
        <x:v>968944.97761391</x:v>
      </x:c>
      <x:c r="E7" s="111" t="n">
        <x:f>IFERROR(D7/B7,0)</x:f>
        <x:v>0.636900380637706</x:v>
      </x:c>
      <x:c r="F7" s="113" t="n">
        <x:f>SUMIFS('Transaction Data'!$G$4:$G$441,'Transaction Data'!$E$4:$E$441,A7)</x:f>
        <x:v>3355</x:v>
      </x:c>
    </x:row>
  </x:sheetData>
  <x:mergeCells>
    <x:mergeCell ref="A1:F1"/>
  </x:mergeCells>
  <x:conditionalFormatting sqref="B4:E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dbae70399e34c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5" hidden="0" customWidth="1"/>
  </x:cols>
  <x:sheetData>
    <x:row r="1">
      <x:c r="A1" s="5" t="str">
        <x:v>Executive KPI Summary</x:v>
      </x:c>
      <x:c r="B1" s="5"/>
      <x:c r="C1" s="5"/>
      <x:c r="D1" s="5"/>
    </x:row>
    <x:row r="3">
      <x:c r="A3" s="17" t="str">
        <x:v>KPI</x:v>
      </x:c>
      <x:c r="B3" s="17" t="str">
        <x:v>Value</x:v>
      </x:c>
      <x:c r="C3" s="17" t="str">
        <x:v>Interpretation</x:v>
      </x:c>
      <x:c r="D3" s="17" t="str">
        <x:v>Portfolio Skill</x:v>
      </x:c>
    </x:row>
    <x:row r="4">
      <x:c r="A4" t="str">
        <x:v>Net Revenue</x:v>
      </x:c>
      <x:c r="B4" s="110" t="n">
        <x:f>SUM('Transaction Data'!J4:J441)</x:f>
        <x:v>5478345.536402871</x:v>
      </x:c>
      <x:c r="C4" t="str">
        <x:v>Total synthetic FY2026 revenue</x:v>
      </x:c>
      <x:c r="D4" t="str">
        <x:v>Revenue analysis</x:v>
      </x:c>
    </x:row>
    <x:row r="5">
      <x:c r="A5" t="str">
        <x:v>Gross Profit</x:v>
      </x:c>
      <x:c r="B5" s="110" t="n">
        <x:f>SUM('Transaction Data'!L4:L441)</x:f>
        <x:v>3421259.887090438</x:v>
      </x:c>
      <x:c r="C5" t="str">
        <x:v>Revenue less direct costs</x:v>
      </x:c>
      <x:c r="D5" t="str">
        <x:v>Profitability analysis</x:v>
      </x:c>
    </x:row>
    <x:row r="6">
      <x:c r="A6" t="str">
        <x:v>Gross Margin</x:v>
      </x:c>
      <x:c r="B6" s="111" t="n">
        <x:f>IFERROR(B5/B4,0)</x:f>
        <x:v>0.6245060418983478</x:v>
      </x:c>
      <x:c r="C6" t="str">
        <x:v>Overall gross profitability</x:v>
      </x:c>
      <x:c r="D6" t="str">
        <x:v>Margin analysis</x:v>
      </x:c>
    </x:row>
    <x:row r="7">
      <x:c r="A7" t="str">
        <x:v>Units Sold</x:v>
      </x:c>
      <x:c r="B7" s="113" t="n">
        <x:f>SUM('Transaction Data'!G4:G441)</x:f>
        <x:v>13105</x:v>
      </x:c>
      <x:c r="C7" t="str">
        <x:v>Total transaction volume</x:v>
      </x:c>
      <x:c r="D7" t="str">
        <x:v>Volume analysis</x:v>
      </x:c>
    </x:row>
    <x:row r="8">
      <x:c r="A8" t="str">
        <x:v>Top Product</x:v>
      </x:c>
      <x:c r="B8" s="112" t="str">
        <x:f>INDEX('Product Analysis'!A4:A7,MATCH(MAX('Product Analysis'!B4:B7),'Product Analysis'!B4:B7,0))</x:f>
        <x:v>Finance Cloud</x:v>
      </x:c>
      <x:c r="C8" t="str">
        <x:v>Highest-revenue product</x:v>
      </x:c>
      <x:c r="D8" t="str">
        <x:v>Product mix</x:v>
      </x:c>
    </x:row>
    <x:row r="9">
      <x:c r="A9" t="str">
        <x:v>Top Region</x:v>
      </x:c>
      <x:c r="B9" s="112" t="str">
        <x:f>INDEX('Regional Analysis'!A4:A7,MATCH(MAX('Regional Analysis'!B4:B7),'Regional Analysis'!B4:B7,0))</x:f>
        <x:v>West</x:v>
      </x:c>
      <x:c r="C9" t="str">
        <x:v>Highest-revenue geography</x:v>
      </x:c>
      <x:c r="D9" t="str">
        <x:v>Regional analysis</x:v>
      </x:c>
    </x:row>
    <x:row r="10">
      <x:c r="A10" t="str">
        <x:v>Top Customer</x:v>
      </x:c>
      <x:c r="B10" s="112" t="str">
        <x:f>INDEX('Customer Analysis'!A4:A33,MATCH(MAX('Customer Analysis'!B4:B33),'Customer Analysis'!B4:B33,0))</x:f>
        <x:v>Customer 22</x:v>
      </x:c>
      <x:c r="C10" t="str">
        <x:v>Highest-revenue customer</x:v>
      </x:c>
      <x:c r="D10" t="str">
        <x:v>Customer concentration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8" t="str">
        <x:v>Revenue &amp; Profitability Analytics Dashboard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>
      <x:c r="A3" s="34" t="str">
        <x:v>Synthetic FY2026 portfolio project | Revenue • Margin • Customer • Product • Region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>
      <x:c r="A4" s="38" t="str">
        <x:v>Net Revenue</x:v>
      </x:c>
      <x:c r="B4" s="38"/>
      <x:c r="C4" s="38"/>
      <x:c r="D4" s="38" t="str">
        <x:v>Gross Profit</x:v>
      </x:c>
      <x:c r="E4" s="38"/>
      <x:c r="F4" s="38"/>
      <x:c r="G4" s="38" t="str">
        <x:v>Gross Margin</x:v>
      </x:c>
      <x:c r="H4" s="38"/>
      <x:c r="I4" s="38"/>
      <x:c r="J4" s="38" t="str">
        <x:v>Units Sold</x:v>
      </x:c>
      <x:c r="K4" s="38"/>
      <x:c r="L4" s="38"/>
    </x:row>
    <x:row r="5">
      <x:c r="A5" s="115" t="n">
        <x:f>'KPI Summary'!B4</x:f>
        <x:v>5478345.536402871</x:v>
      </x:c>
      <x:c r="B5" s="60"/>
      <x:c r="C5" s="61"/>
      <x:c r="D5" s="115" t="n">
        <x:f>'KPI Summary'!B5</x:f>
        <x:v>3421259.887090438</x:v>
      </x:c>
      <x:c r="E5" s="60"/>
      <x:c r="F5" s="61"/>
      <x:c r="G5" s="116" t="n">
        <x:f>'KPI Summary'!B6</x:f>
        <x:v>0.6245060418983478</x:v>
      </x:c>
      <x:c r="H5" s="60"/>
      <x:c r="I5" s="61"/>
      <x:c r="J5" s="117" t="n">
        <x:f>'KPI Summary'!B7</x:f>
        <x:v>13105</x:v>
      </x:c>
      <x:c r="K5" s="60"/>
      <x:c r="L5" s="61"/>
    </x:row>
    <x:row r="6">
      <x:c r="A6" s="62"/>
      <x:c r="B6" s="63"/>
      <x:c r="C6" s="64"/>
      <x:c r="D6" s="62"/>
      <x:c r="E6" s="63"/>
      <x:c r="F6" s="64"/>
      <x:c r="G6" s="62"/>
      <x:c r="H6" s="63"/>
      <x:c r="I6" s="64"/>
      <x:c r="J6" s="62"/>
      <x:c r="K6" s="63"/>
      <x:c r="L6" s="64"/>
    </x:row>
    <x:row r="7">
      <x:c r="A7" s="65"/>
      <x:c r="B7" s="66"/>
      <x:c r="C7" s="67"/>
      <x:c r="D7" s="65"/>
      <x:c r="E7" s="66"/>
      <x:c r="F7" s="67"/>
      <x:c r="G7" s="65"/>
      <x:c r="H7" s="66"/>
      <x:c r="I7" s="67"/>
      <x:c r="J7" s="65"/>
      <x:c r="K7" s="66"/>
      <x:c r="L7" s="67"/>
    </x:row>
    <x:row r="10">
      <x:c r="A10" s="17" t="str">
        <x:v>Month</x:v>
      </x:c>
      <x:c r="B10" s="17" t="str">
        <x:v>Revenue</x:v>
      </x:c>
      <x:c r="C10" s="17" t="str">
        <x:v>Gross Profit</x:v>
      </x:c>
    </x:row>
    <x:row r="11">
      <x:c r="A11" s="118" t="n">
        <x:v>46023</x:v>
      </x:c>
      <x:c r="B11" s="110" t="n">
        <x:f>SUMIFS('Transaction Data'!$J$4:$J$441,'Transaction Data'!$B$4:$B$441,"&gt;="&amp;A11,'Transaction Data'!$B$4:$B$441,"&lt;"&amp;EDATE(A11,1))</x:f>
        <x:v>389405.4869981401</x:v>
      </x:c>
      <x:c r="C11" s="110" t="n">
        <x:f>SUMIFS('Transaction Data'!$L$4:$L$441,'Transaction Data'!$B$4:$B$441,"&gt;="&amp;A11,'Transaction Data'!$B$4:$B$441,"&lt;"&amp;EDATE(A11,1))</x:f>
        <x:v>240038.82010748136</x:v>
      </x:c>
    </x:row>
    <x:row r="12">
      <x:c r="A12" s="118" t="n">
        <x:v>46054</x:v>
      </x:c>
      <x:c r="B12" s="110" t="n">
        <x:f>SUMIFS('Transaction Data'!$J$4:$J$441,'Transaction Data'!$B$4:$B$441,"&gt;="&amp;A12,'Transaction Data'!$B$4:$B$441,"&lt;"&amp;EDATE(A12,1))</x:f>
        <x:v>432018.7490236036</x:v>
      </x:c>
      <x:c r="C12" s="110" t="n">
        <x:f>SUMIFS('Transaction Data'!$L$4:$L$441,'Transaction Data'!$B$4:$B$441,"&gt;="&amp;A12,'Transaction Data'!$B$4:$B$441,"&lt;"&amp;EDATE(A12,1))</x:f>
        <x:v>267569.10958534223</x:v>
      </x:c>
    </x:row>
    <x:row r="13">
      <x:c r="A13" s="118" t="n">
        <x:v>46082</x:v>
      </x:c>
      <x:c r="B13" s="110" t="n">
        <x:f>SUMIFS('Transaction Data'!$J$4:$J$441,'Transaction Data'!$B$4:$B$441,"&gt;="&amp;A13,'Transaction Data'!$B$4:$B$441,"&lt;"&amp;EDATE(A13,1))</x:f>
        <x:v>486305.03829917416</x:v>
      </x:c>
      <x:c r="C13" s="110" t="n">
        <x:f>SUMIFS('Transaction Data'!$L$4:$L$441,'Transaction Data'!$B$4:$B$441,"&gt;="&amp;A13,'Transaction Data'!$B$4:$B$441,"&lt;"&amp;EDATE(A13,1))</x:f>
        <x:v>302028.124835278</x:v>
      </x:c>
    </x:row>
    <x:row r="14">
      <x:c r="A14" s="118" t="n">
        <x:v>46113</x:v>
      </x:c>
      <x:c r="B14" s="110" t="n">
        <x:f>SUMIFS('Transaction Data'!$J$4:$J$441,'Transaction Data'!$B$4:$B$441,"&gt;="&amp;A14,'Transaction Data'!$B$4:$B$441,"&lt;"&amp;EDATE(A14,1))</x:f>
        <x:v>407203.46797099884</x:v>
      </x:c>
      <x:c r="C14" s="110" t="n">
        <x:f>SUMIFS('Transaction Data'!$L$4:$L$441,'Transaction Data'!$B$4:$B$441,"&gt;="&amp;A14,'Transaction Data'!$B$4:$B$441,"&lt;"&amp;EDATE(A14,1))</x:f>
        <x:v>253705.44036650108</x:v>
      </x:c>
    </x:row>
    <x:row r="15">
      <x:c r="A15" s="118" t="n">
        <x:v>46143</x:v>
      </x:c>
      <x:c r="B15" s="110" t="n">
        <x:f>SUMIFS('Transaction Data'!$J$4:$J$441,'Transaction Data'!$B$4:$B$441,"&gt;="&amp;A15,'Transaction Data'!$B$4:$B$441,"&lt;"&amp;EDATE(A15,1))</x:f>
        <x:v>417385.57397221576</x:v>
      </x:c>
      <x:c r="C15" s="110" t="n">
        <x:f>SUMIFS('Transaction Data'!$L$4:$L$441,'Transaction Data'!$B$4:$B$441,"&gt;="&amp;A15,'Transaction Data'!$B$4:$B$441,"&lt;"&amp;EDATE(A15,1))</x:f>
        <x:v>261889.92883905684</x:v>
      </x:c>
    </x:row>
    <x:row r="16">
      <x:c r="A16" s="118" t="n">
        <x:v>46174</x:v>
      </x:c>
      <x:c r="B16" s="110" t="n">
        <x:f>SUMIFS('Transaction Data'!$J$4:$J$441,'Transaction Data'!$B$4:$B$441,"&gt;="&amp;A16,'Transaction Data'!$B$4:$B$441,"&lt;"&amp;EDATE(A16,1))</x:f>
        <x:v>470178.84771872155</x:v>
      </x:c>
      <x:c r="C16" s="110" t="n">
        <x:f>SUMIFS('Transaction Data'!$L$4:$L$441,'Transaction Data'!$B$4:$B$441,"&gt;="&amp;A16,'Transaction Data'!$B$4:$B$441,"&lt;"&amp;EDATE(A16,1))</x:f>
        <x:v>293343.8233435824</x:v>
      </x:c>
    </x:row>
    <x:row r="17">
      <x:c r="A17" s="118" t="n">
        <x:v>46204</x:v>
      </x:c>
      <x:c r="B17" s="110" t="n">
        <x:f>SUMIFS('Transaction Data'!$J$4:$J$441,'Transaction Data'!$B$4:$B$441,"&gt;="&amp;A17,'Transaction Data'!$B$4:$B$441,"&lt;"&amp;EDATE(A17,1))</x:f>
        <x:v>531657.6492732586</x:v>
      </x:c>
      <x:c r="C17" s="110" t="n">
        <x:f>SUMIFS('Transaction Data'!$L$4:$L$441,'Transaction Data'!$B$4:$B$441,"&gt;="&amp;A17,'Transaction Data'!$B$4:$B$441,"&lt;"&amp;EDATE(A17,1))</x:f>
        <x:v>332767.0436572424</x:v>
      </x:c>
    </x:row>
    <x:row r="18">
      <x:c r="A18" s="118" t="n">
        <x:v>46235</x:v>
      </x:c>
      <x:c r="B18" s="110" t="n">
        <x:f>SUMIFS('Transaction Data'!$J$4:$J$441,'Transaction Data'!$B$4:$B$441,"&gt;="&amp;A18,'Transaction Data'!$B$4:$B$441,"&lt;"&amp;EDATE(A18,1))</x:f>
        <x:v>404635.8533019765</x:v>
      </x:c>
      <x:c r="C18" s="110" t="n">
        <x:f>SUMIFS('Transaction Data'!$L$4:$L$441,'Transaction Data'!$B$4:$B$441,"&gt;="&amp;A18,'Transaction Data'!$B$4:$B$441,"&lt;"&amp;EDATE(A18,1))</x:f>
        <x:v>253291.55856601833</x:v>
      </x:c>
    </x:row>
    <x:row r="19">
      <x:c r="A19" s="118" t="n">
        <x:v>46266</x:v>
      </x:c>
      <x:c r="B19" s="110" t="n">
        <x:f>SUMIFS('Transaction Data'!$J$4:$J$441,'Transaction Data'!$B$4:$B$441,"&gt;="&amp;A19,'Transaction Data'!$B$4:$B$441,"&lt;"&amp;EDATE(A19,1))</x:f>
        <x:v>427275.268282257</x:v>
      </x:c>
      <x:c r="C19" s="110" t="n">
        <x:f>SUMIFS('Transaction Data'!$L$4:$L$441,'Transaction Data'!$B$4:$B$441,"&gt;="&amp;A19,'Transaction Data'!$B$4:$B$441,"&lt;"&amp;EDATE(A19,1))</x:f>
        <x:v>269330.87275237</x:v>
      </x:c>
    </x:row>
    <x:row r="20">
      <x:c r="A20" s="118" t="n">
        <x:v>46296</x:v>
      </x:c>
      <x:c r="B20" s="110" t="n">
        <x:f>SUMIFS('Transaction Data'!$J$4:$J$441,'Transaction Data'!$B$4:$B$441,"&gt;="&amp;A20,'Transaction Data'!$B$4:$B$441,"&lt;"&amp;EDATE(A20,1))</x:f>
        <x:v>516084.7859847603</x:v>
      </x:c>
      <x:c r="C20" s="110" t="n">
        <x:f>SUMIFS('Transaction Data'!$L$4:$L$441,'Transaction Data'!$B$4:$B$441,"&gt;="&amp;A20,'Transaction Data'!$B$4:$B$441,"&lt;"&amp;EDATE(A20,1))</x:f>
        <x:v>324184.28600828536</x:v>
      </x:c>
    </x:row>
    <x:row r="21">
      <x:c r="A21" s="118" t="n">
        <x:v>46327</x:v>
      </x:c>
      <x:c r="B21" s="110" t="n">
        <x:f>SUMIFS('Transaction Data'!$J$4:$J$441,'Transaction Data'!$B$4:$B$441,"&gt;="&amp;A21,'Transaction Data'!$B$4:$B$441,"&lt;"&amp;EDATE(A21,1))</x:f>
        <x:v>558499.1361426783</x:v>
      </x:c>
      <x:c r="C21" s="110" t="n">
        <x:f>SUMIFS('Transaction Data'!$L$4:$L$441,'Transaction Data'!$B$4:$B$441,"&gt;="&amp;A21,'Transaction Data'!$B$4:$B$441,"&lt;"&amp;EDATE(A21,1))</x:f>
        <x:v>350245.92122797295</x:v>
      </x:c>
    </x:row>
    <x:row r="22">
      <x:c r="A22" s="118" t="n">
        <x:v>46357</x:v>
      </x:c>
      <x:c r="B22" s="110" t="n">
        <x:f>SUMIFS('Transaction Data'!$J$4:$J$441,'Transaction Data'!$B$4:$B$441,"&gt;="&amp;A22,'Transaction Data'!$B$4:$B$441,"&lt;"&amp;EDATE(A22,1))</x:f>
        <x:v>437695.67943508667</x:v>
      </x:c>
      <x:c r="C22" s="110" t="n">
        <x:f>SUMIFS('Transaction Data'!$L$4:$L$441,'Transaction Data'!$B$4:$B$441,"&gt;="&amp;A22,'Transaction Data'!$B$4:$B$441,"&lt;"&amp;EDATE(A22,1))</x:f>
        <x:v>272864.9578013066</x:v>
      </x:c>
    </x:row>
    <x:row r="25">
      <x:c r="A25" s="17" t="str">
        <x:v>Product</x:v>
      </x:c>
      <x:c r="B25" s="17" t="str">
        <x:v>Revenue</x:v>
      </x:c>
      <x:c r="C25" s="17" t="str">
        <x:v>Gross Profit</x:v>
      </x:c>
    </x:row>
    <x:row r="26">
      <x:c r="A26" s="109" t="str">
        <x:v>Analytics Pro</x:v>
      </x:c>
      <x:c r="B26" s="119" t="n">
        <x:f>'Product Analysis'!B4</x:f>
        <x:v>1441761.7522401852</x:v>
      </x:c>
      <x:c r="C26" s="119" t="n">
        <x:f>'Product Analysis'!D4</x:f>
        <x:v>898006.1773024449</x:v>
      </x:c>
    </x:row>
    <x:row r="27">
      <x:c r="A27" s="109" t="str">
        <x:v>Finance Cloud</x:v>
      </x:c>
      <x:c r="B27" s="119" t="n">
        <x:f>'Product Analysis'!B5</x:f>
        <x:v>2222055.260568892</x:v>
      </x:c>
      <x:c r="C27" s="119" t="n">
        <x:f>'Product Analysis'!D5</x:f>
        <x:v>1513598.9302233467</x:v>
      </x:c>
    </x:row>
    <x:row r="28">
      <x:c r="A28" s="109" t="str">
        <x:v>Reporting Suite</x:v>
      </x:c>
      <x:c r="B28" s="119" t="n">
        <x:f>'Product Analysis'!B6</x:f>
        <x:v>1017653.1729468178</x:v>
      </x:c>
      <x:c r="C28" s="119" t="n">
        <x:f>'Product Analysis'!D6</x:f>
        <x:v>588687.594403983</x:v>
      </x:c>
    </x:row>
    <x:row r="29">
      <x:c r="A29" s="109" t="str">
        <x:v>Data Connect</x:v>
      </x:c>
      <x:c r="B29" s="119" t="n">
        <x:f>'Product Analysis'!B7</x:f>
        <x:v>796875.3506469774</x:v>
      </x:c>
      <x:c r="C29" s="119" t="n">
        <x:f>'Product Analysis'!D7</x:f>
        <x:v>420967.1851606633</x:v>
      </x:c>
    </x:row>
    <x:row r="32">
      <x:c r="A32" s="17" t="str">
        <x:v>Region</x:v>
      </x:c>
      <x:c r="B32" s="17" t="str">
        <x:v>Revenue</x:v>
      </x:c>
      <x:c r="C32" s="17" t="str">
        <x:v>Gross Margin</x:v>
      </x:c>
    </x:row>
    <x:row r="33">
      <x:c r="A33" s="109" t="str">
        <x:v>Northeast</x:v>
      </x:c>
      <x:c r="B33" s="119" t="n">
        <x:f>'Regional Analysis'!B4</x:f>
        <x:v>1175639.0814149503</x:v>
      </x:c>
      <x:c r="C33" s="120" t="n">
        <x:f>'Regional Analysis'!E4</x:f>
        <x:v>0.6050320796232098</x:v>
      </x:c>
    </x:row>
    <x:row r="34">
      <x:c r="A34" s="109" t="str">
        <x:v>Midwest</x:v>
      </x:c>
      <x:c r="B34" s="119" t="n">
        <x:f>'Regional Analysis'!B5</x:f>
        <x:v>1497585.9754288106</x:v>
      </x:c>
      <x:c r="C34" s="120" t="n">
        <x:f>'Regional Analysis'!E5</x:f>
        <x:v>0.6447851099123765</x:v>
      </x:c>
    </x:row>
    <x:row r="35">
      <x:c r="A35" s="109" t="str">
        <x:v>South</x:v>
      </x:c>
      <x:c r="B35" s="119" t="n">
        <x:f>'Regional Analysis'!B6</x:f>
        <x:v>1283775.8437720533</x:v>
      </x:c>
      <x:c r="C35" s="120" t="n">
        <x:f>'Regional Analysis'!E6</x:f>
        <x:v>0.6039951734200878</x:v>
      </x:c>
    </x:row>
    <x:row r="36">
      <x:c r="A36" s="109" t="str">
        <x:v>West</x:v>
      </x:c>
      <x:c r="B36" s="119" t="n">
        <x:f>'Regional Analysis'!B7</x:f>
        <x:v>1521344.6357870589</x:v>
      </x:c>
      <x:c r="C36" s="120" t="n">
        <x:f>'Regional Analysis'!E7</x:f>
        <x:v>0.636900380637706</x:v>
      </x:c>
    </x:row>
    <x:row r="39">
      <x:c r="A39" s="104" t="str">
        <x:v>Executive Takeaway</x:v>
      </x:c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</x:row>
    <x:row r="40">
      <x:c r="A40" s="121" t="str">
        <x:f>"FY2026 synthetic revenue totals "&amp;TEXT('KPI Summary'!B4,"$#,##0")&amp;" with gross margin of "&amp;TEXT('KPI Summary'!B6,"0.0%")&amp;". "&amp;'KPI Summary'!B8&amp;" is the highest-revenue product and "&amp;'KPI Summary'!B9&amp;" is the highest-revenue region. The project demonstrates transaction-level analysis, segmentation, profitability diagnostics, and management dashboarding."</x:f>
        <x:v>FY2026 synthetic revenue totals $5,478,346 with gross margin of 62.5%. Finance Cloud is the highest-revenue product and West is the highest-revenue region. The project demonstrates transaction-level analysis, segmentation, profitability diagnostics, and management dashboarding.</x:v>
      </x:c>
      <x:c r="B40" s="107"/>
      <x:c r="C40" s="107"/>
      <x:c r="D40" s="107"/>
      <x:c r="E40" s="107"/>
      <x:c r="F40" s="107"/>
      <x:c r="G40" s="107"/>
      <x:c r="H40" s="107"/>
      <x:c r="I40" s="107"/>
      <x:c r="J40" s="107"/>
      <x:c r="K40" s="107"/>
      <x:c r="L40" s="107"/>
    </x:row>
    <x:row r="41">
      <x:c r="A41" s="107"/>
      <x:c r="B41" s="107"/>
      <x:c r="C41" s="107"/>
      <x:c r="D41" s="107"/>
      <x:c r="E41" s="107"/>
      <x:c r="F41" s="107"/>
      <x:c r="G41" s="107"/>
      <x:c r="H41" s="107"/>
      <x:c r="I41" s="107"/>
      <x:c r="J41" s="107"/>
      <x:c r="K41" s="107"/>
      <x:c r="L41" s="107"/>
    </x:row>
    <x:row r="42">
      <x:c r="A42" s="107"/>
      <x:c r="B42" s="107"/>
      <x:c r="C42" s="107"/>
      <x:c r="D42" s="107"/>
      <x:c r="E42" s="107"/>
      <x:c r="F42" s="107"/>
      <x:c r="G42" s="107"/>
      <x:c r="H42" s="107"/>
      <x:c r="I42" s="107"/>
      <x:c r="J42" s="107"/>
      <x:c r="K42" s="107"/>
      <x:c r="L42" s="107"/>
    </x:row>
    <x:row r="43">
      <x:c r="A43" s="107"/>
      <x:c r="B43" s="107"/>
      <x:c r="C43" s="107"/>
      <x:c r="D43" s="107"/>
      <x:c r="E43" s="107"/>
      <x:c r="F43" s="107"/>
      <x:c r="G43" s="107"/>
      <x:c r="H43" s="107"/>
      <x:c r="I43" s="107"/>
      <x:c r="J43" s="107"/>
      <x:c r="K43" s="107"/>
      <x:c r="L43" s="107"/>
    </x:row>
  </x:sheetData>
  <x:mergeCells>
    <x:mergeCell ref="A1:L2"/>
    <x:mergeCell ref="A3:L3"/>
    <x:mergeCell ref="A4:C4"/>
    <x:mergeCell ref="D4:F4"/>
    <x:mergeCell ref="G4:I4"/>
    <x:mergeCell ref="J4:L4"/>
    <x:mergeCell ref="A5:C7"/>
    <x:mergeCell ref="D5:F7"/>
    <x:mergeCell ref="G5:I7"/>
    <x:mergeCell ref="J5:L7"/>
    <x:mergeCell ref="A39:L39"/>
    <x:mergeCell ref="A40:L43"/>
  </x:mergeCells>
  <x:pageMargins left="0.7" right="0.7" top="0.75" bottom="0.75" header="0.3" footer="0.3"/>
  <x:drawing xmlns:r="http://schemas.openxmlformats.org/officeDocument/2006/relationships" r:id="Rf8693236edb34274"/>
</x:worksheet>
</file>