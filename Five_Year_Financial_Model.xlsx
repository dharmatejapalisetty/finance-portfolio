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ba14030528e484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ssumptions" sheetId="1" r:id="Rc58bd33480594f1c"/>
    <x:sheet xmlns:r="http://schemas.openxmlformats.org/officeDocument/2006/relationships" name="5-Year Model" sheetId="2" r:id="Re881f4397ce84274"/>
    <x:sheet xmlns:r="http://schemas.openxmlformats.org/officeDocument/2006/relationships" name="Scenario Analysis" sheetId="3" r:id="R53be4feb8aa54906"/>
    <x:sheet xmlns:r="http://schemas.openxmlformats.org/officeDocument/2006/relationships" name="Cash Flow" sheetId="4" r:id="R03a50fb983934b4c"/>
    <x:sheet xmlns:r="http://schemas.openxmlformats.org/officeDocument/2006/relationships" name="Dashboard" sheetId="5" r:id="Rf56ea506ab7a490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$#,##0;[Red]($#,##0);-"/>
    <x:numFmt numFmtId="201" formatCode="0.0%;[Red](0.0%);-"/>
  </x:numFmts>
  <x:fonts count="10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sz val="11"/>
      <x:color rgb="FF0000FF"/>
      <x:name val="Carlito"/>
    </x:font>
    <x:font>
      <x:b/>
      <x:sz val="11"/>
      <x:color rgb="FFFFFFFF"/>
      <x:name val="Carlito"/>
    </x:font>
    <x:font>
      <x:sz val="11"/>
      <x:color rgb="FF000000"/>
      <x:name val="Carlito"/>
    </x:font>
    <x:font>
      <x:sz val="11"/>
      <x:color rgb="FF008000"/>
      <x:name val="Carlito"/>
    </x:font>
    <x:font>
      <x:b/>
      <x:sz val="20"/>
      <x:color rgb="FFFFFFFF"/>
      <x:name val="Carlito"/>
    </x:font>
    <x:font>
      <x:i/>
      <x:sz val="11"/>
      <x:color rgb="FF555555"/>
      <x:name val="Carlito"/>
    </x:font>
    <x:font>
      <x:b/>
      <x:sz val="16"/>
      <x:color rgb="FF0080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FFF00"/>
      </x:patternFill>
    </x:fill>
    <x:fill>
      <x:patternFill patternType="solid">
        <x:fgColor rgb="FFF3F6F9"/>
      </x:patternFill>
    </x:fill>
    <x:fill>
      <x:patternFill patternType="solid">
        <x:fgColor rgb="FFE2F0D9"/>
      </x:patternFill>
    </x:fill>
  </x:fills>
  <x:borders count="20">
    <x:border/>
    <x:border/>
    <x:border>
      <x:top style="thin">
        <x:color rgb="FF808080"/>
      </x:top>
    </x:border>
    <x:border>
      <x:top style="thin">
        <x:color rgb="FF808080"/>
      </x:top>
    </x:border>
    <x:border>
      <x:left style="thin">
        <x:color rgb="FFA6A6A6"/>
      </x:left>
      <x:top style="thin">
        <x:color rgb="FFA6A6A6"/>
      </x:top>
    </x:border>
    <x:border>
      <x:top style="thin">
        <x:color rgb="FFA6A6A6"/>
      </x:top>
    </x:border>
    <x:border>
      <x:right style="thin">
        <x:color rgb="FFA6A6A6"/>
      </x:right>
      <x:top style="thin">
        <x:color rgb="FFA6A6A6"/>
      </x:top>
    </x:border>
    <x:border>
      <x:left style="thin">
        <x:color rgb="FFA6A6A6"/>
      </x:left>
    </x:border>
    <x:border>
      <x:right style="thin">
        <x:color rgb="FFA6A6A6"/>
      </x:right>
    </x:border>
    <x:border>
      <x:left style="thin">
        <x:color rgb="FFA6A6A6"/>
      </x:left>
      <x:bottom style="thin">
        <x:color rgb="FFA6A6A6"/>
      </x:bottom>
    </x:border>
    <x:border>
      <x:bottom style="thin">
        <x:color rgb="FFA6A6A6"/>
      </x:bottom>
    </x:border>
    <x:border>
      <x:right style="thin">
        <x:color rgb="FFA6A6A6"/>
      </x:right>
      <x:bottom style="thin">
        <x:color rgb="FFA6A6A6"/>
      </x:bottom>
    </x:border>
    <x:border>
      <x:left style="thin">
        <x:color rgb="FFA6A6A6"/>
      </x:left>
      <x:top style="thin">
        <x:color rgb="FFA6A6A6"/>
      </x:top>
    </x:border>
    <x:border>
      <x:top style="thin">
        <x:color rgb="FFA6A6A6"/>
      </x:top>
    </x:border>
    <x:border>
      <x:right style="thin">
        <x:color rgb="FFA6A6A6"/>
      </x:right>
      <x:top style="thin">
        <x:color rgb="FFA6A6A6"/>
      </x:top>
    </x:border>
    <x:border>
      <x:left style="thin">
        <x:color rgb="FFA6A6A6"/>
      </x:left>
    </x:border>
    <x:border>
      <x:right style="thin">
        <x:color rgb="FFA6A6A6"/>
      </x:right>
    </x:border>
    <x:border>
      <x:left style="thin">
        <x:color rgb="FFA6A6A6"/>
      </x:left>
      <x:bottom style="thin">
        <x:color rgb="FFA6A6A6"/>
      </x:bottom>
    </x:border>
    <x:border>
      <x:bottom style="thin">
        <x:color rgb="FFA6A6A6"/>
      </x:bottom>
    </x:border>
    <x:border>
      <x:right style="thin">
        <x:color rgb="FFA6A6A6"/>
      </x:right>
      <x:bottom style="thin">
        <x:color rgb="FFA6A6A6"/>
      </x:bottom>
    </x:border>
  </x:borders>
  <x:cellStyleXfs count="1">
    <x:xf numFmtId="0" fontId="0" fillId="0" borderId="0"/>
  </x:cellStyleXfs>
  <x:cellXfs count="12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right"/>
    </x:xf>
    <x:xf numFmtId="0" fontId="2" fillId="3" borderId="0" xfId="0" applyNumberFormat="1" applyFont="1" applyFill="1" applyBorder="1" applyAlignment="1">
      <x:alignment horizontal="right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right"/>
    </x:xf>
    <x:xf numFmtId="0" fontId="2" fillId="3" borderId="1" xfId="0" applyNumberFormat="1" applyFont="1" applyFill="1" applyBorder="1" applyAlignment="1">
      <x:alignment horizontal="right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0" fontId="3" fillId="0" borderId="0" xfId="0" applyNumberFormat="1" applyFont="1" applyFill="1" applyBorder="1"/>
    <x:xf numFmtId="201" fontId="3" fillId="0" borderId="0" xfId="0" applyNumberFormat="1" applyFont="1" applyFill="1" applyBorder="1"/>
    <x:xf numFmtId="200" fontId="3" fillId="0" borderId="1" xfId="0" applyNumberFormat="1" applyFont="1" applyFill="1" applyBorder="1"/>
    <x:xf numFmtId="201" fontId="3" fillId="0" borderId="1" xfId="0" applyNumberFormat="1" applyFont="1" applyFill="1" applyBorder="1"/>
    <x:xf numFmtId="200" fontId="3" fillId="4" borderId="0" xfId="0" applyNumberFormat="1" applyFont="1" applyFill="1" applyBorder="1"/>
    <x:xf numFmtId="201" fontId="3" fillId="4" borderId="0" xfId="0" applyNumberFormat="1" applyFont="1" applyFill="1" applyBorder="1"/>
    <x:xf numFmtId="200" fontId="3" fillId="4" borderId="1" xfId="0" applyNumberFormat="1" applyFont="1" applyFill="1" applyBorder="1"/>
    <x:xf numFmtId="201" fontId="3" fillId="4" borderId="1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left"/>
    </x:xf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horizontal="left"/>
    </x:xf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6" fillId="0" borderId="0" xfId="0" applyNumberFormat="1" applyFont="1" applyFill="1" applyBorder="1"/>
    <x:xf numFmtId="0" fontId="6" fillId="0" borderId="1" xfId="0" applyNumberFormat="1" applyFont="1" applyFill="1" applyBorder="1"/>
    <x:xf numFmtId="200" fontId="6" fillId="0" borderId="0" xfId="0" applyNumberFormat="1" applyFont="1" applyFill="1" applyBorder="1"/>
    <x:xf numFmtId="200" fontId="6" fillId="0" borderId="1" xfId="0" applyNumberFormat="1" applyFont="1" applyFill="1" applyBorder="1"/>
    <x:xf numFmtId="200" fontId="5" fillId="0" borderId="0" xfId="0" applyNumberFormat="1" applyFont="1" applyFill="1" applyBorder="1"/>
    <x:xf numFmtId="200" fontId="5" fillId="0" borderId="1" xfId="0" applyNumberFormat="1" applyFont="1" applyFill="1" applyBorder="1"/>
    <x:xf numFmtId="201" fontId="6" fillId="0" borderId="0" xfId="0" applyNumberFormat="1" applyFont="1" applyFill="1" applyBorder="1"/>
    <x:xf numFmtId="201" fontId="6" fillId="0" borderId="1" xfId="0" applyNumberFormat="1" applyFont="1" applyFill="1" applyBorder="1"/>
    <x:xf numFmtId="201" fontId="5" fillId="0" borderId="0" xfId="0" applyNumberFormat="1" applyFont="1" applyFill="1" applyBorder="1"/>
    <x:xf numFmtId="201" fontId="5" fillId="0" borderId="1" xfId="0" applyNumberFormat="1" applyFont="1" applyFill="1" applyBorder="1"/>
    <x:xf numFmtId="0" fontId="0" fillId="0" borderId="2" xfId="0" applyNumberFormat="1" applyFont="1" applyFill="1" applyBorder="1"/>
    <x:xf numFmtId="200" fontId="5" fillId="0" borderId="2" xfId="0" applyNumberFormat="1" applyFont="1" applyFill="1" applyBorder="1"/>
    <x:xf numFmtId="0" fontId="0" fillId="0" borderId="3" xfId="0" applyNumberFormat="1" applyFont="1" applyFill="1" applyBorder="1"/>
    <x:xf numFmtId="200" fontId="5" fillId="0" borderId="3" xfId="0" applyNumberFormat="1" applyFont="1" applyFill="1" applyBorder="1"/>
    <x:xf numFmtId="200" fontId="6" fillId="0" borderId="2" xfId="0" applyNumberFormat="1" applyFont="1" applyFill="1" applyBorder="1"/>
    <x:xf numFmtId="200" fontId="6" fillId="0" borderId="3" xfId="0" applyNumberFormat="1" applyFont="1" applyFill="1" applyBorder="1"/>
    <x:xf numFmtId="0" fontId="7" fillId="2" borderId="0" xfId="0" applyNumberFormat="1" applyFont="1" applyFill="1" applyBorder="1"/>
    <x:xf numFmtId="0" fontId="7" fillId="2" borderId="0" xfId="0" applyNumberFormat="1" applyFont="1" applyFill="1" applyBorder="1" applyAlignment="1">
      <x:alignment horizontal="center"/>
    </x:xf>
    <x:xf numFmtId="0" fontId="7" fillId="2" borderId="0" xfId="0" applyNumberFormat="1" applyFont="1" applyFill="1" applyBorder="1" applyAlignment="1">
      <x:alignment horizontal="center" vertical="center"/>
    </x:xf>
    <x:xf numFmtId="0" fontId="7" fillId="2" borderId="1" xfId="0" applyNumberFormat="1" applyFont="1" applyFill="1" applyBorder="1"/>
    <x:xf numFmtId="0" fontId="7" fillId="2" borderId="1" xfId="0" applyNumberFormat="1" applyFont="1" applyFill="1" applyBorder="1" applyAlignment="1">
      <x:alignment horizontal="center"/>
    </x:xf>
    <x:xf numFmtId="0" fontId="7" fillId="2" borderId="1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8" fillId="5" borderId="0" xfId="0" applyNumberFormat="1" applyFont="1" applyFill="1" applyBorder="1"/>
    <x:xf numFmtId="0" fontId="8" fillId="5" borderId="0" xfId="0" applyNumberFormat="1" applyFont="1" applyFill="1" applyBorder="1" applyAlignment="1">
      <x:alignment horizontal="center"/>
    </x:xf>
    <x:xf numFmtId="0" fontId="0" fillId="5" borderId="1" xfId="0" applyNumberFormat="1" applyFont="1" applyFill="1" applyBorder="1"/>
    <x:xf numFmtId="0" fontId="8" fillId="5" borderId="1" xfId="0" applyNumberFormat="1" applyFont="1" applyFill="1" applyBorder="1"/>
    <x:xf numFmtId="0" fontId="8" fillId="5" borderId="1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9" fillId="6" borderId="0" xfId="0" applyNumberFormat="1" applyFont="1" applyFill="1" applyBorder="1"/>
    <x:xf numFmtId="0" fontId="9" fillId="6" borderId="4" xfId="0" applyNumberFormat="1" applyFont="1" applyFill="1" applyBorder="1"/>
    <x:xf numFmtId="0" fontId="9" fillId="6" borderId="5" xfId="0" applyNumberFormat="1" applyFont="1" applyFill="1" applyBorder="1"/>
    <x:xf numFmtId="0" fontId="9" fillId="6" borderId="6" xfId="0" applyNumberFormat="1" applyFont="1" applyFill="1" applyBorder="1"/>
    <x:xf numFmtId="0" fontId="9" fillId="6" borderId="7" xfId="0" applyNumberFormat="1" applyFont="1" applyFill="1" applyBorder="1"/>
    <x:xf numFmtId="0" fontId="9" fillId="6" borderId="8" xfId="0" applyNumberFormat="1" applyFont="1" applyFill="1" applyBorder="1"/>
    <x:xf numFmtId="0" fontId="9" fillId="6" borderId="9" xfId="0" applyNumberFormat="1" applyFont="1" applyFill="1" applyBorder="1"/>
    <x:xf numFmtId="0" fontId="9" fillId="6" borderId="10" xfId="0" applyNumberFormat="1" applyFont="1" applyFill="1" applyBorder="1"/>
    <x:xf numFmtId="0" fontId="9" fillId="6" borderId="11" xfId="0" applyNumberFormat="1" applyFont="1" applyFill="1" applyBorder="1"/>
    <x:xf numFmtId="0" fontId="9" fillId="6" borderId="4" xfId="0" applyNumberFormat="1" applyFont="1" applyFill="1" applyBorder="1" applyAlignment="1">
      <x:alignment horizontal="center"/>
    </x:xf>
    <x:xf numFmtId="0" fontId="9" fillId="6" borderId="5" xfId="0" applyNumberFormat="1" applyFont="1" applyFill="1" applyBorder="1" applyAlignment="1">
      <x:alignment horizontal="center"/>
    </x:xf>
    <x:xf numFmtId="0" fontId="9" fillId="6" borderId="6" xfId="0" applyNumberFormat="1" applyFont="1" applyFill="1" applyBorder="1" applyAlignment="1">
      <x:alignment horizontal="center"/>
    </x:xf>
    <x:xf numFmtId="0" fontId="9" fillId="6" borderId="7" xfId="0" applyNumberFormat="1" applyFont="1" applyFill="1" applyBorder="1" applyAlignment="1">
      <x:alignment horizontal="center"/>
    </x:xf>
    <x:xf numFmtId="0" fontId="9" fillId="6" borderId="0" xfId="0" applyNumberFormat="1" applyFont="1" applyFill="1" applyBorder="1" applyAlignment="1">
      <x:alignment horizontal="center"/>
    </x:xf>
    <x:xf numFmtId="0" fontId="9" fillId="6" borderId="8" xfId="0" applyNumberFormat="1" applyFont="1" applyFill="1" applyBorder="1" applyAlignment="1">
      <x:alignment horizontal="center"/>
    </x:xf>
    <x:xf numFmtId="0" fontId="9" fillId="6" borderId="9" xfId="0" applyNumberFormat="1" applyFont="1" applyFill="1" applyBorder="1" applyAlignment="1">
      <x:alignment horizontal="center"/>
    </x:xf>
    <x:xf numFmtId="0" fontId="9" fillId="6" borderId="10" xfId="0" applyNumberFormat="1" applyFont="1" applyFill="1" applyBorder="1" applyAlignment="1">
      <x:alignment horizontal="center"/>
    </x:xf>
    <x:xf numFmtId="0" fontId="9" fillId="6" borderId="11" xfId="0" applyNumberFormat="1" applyFont="1" applyFill="1" applyBorder="1" applyAlignment="1">
      <x:alignment horizontal="center"/>
    </x:xf>
    <x:xf numFmtId="0" fontId="9" fillId="6" borderId="4" xfId="0" applyNumberFormat="1" applyFont="1" applyFill="1" applyBorder="1" applyAlignment="1">
      <x:alignment horizontal="center" vertical="center"/>
    </x:xf>
    <x:xf numFmtId="0" fontId="9" fillId="6" borderId="5" xfId="0" applyNumberFormat="1" applyFont="1" applyFill="1" applyBorder="1" applyAlignment="1">
      <x:alignment horizontal="center" vertical="center"/>
    </x:xf>
    <x:xf numFmtId="0" fontId="9" fillId="6" borderId="6" xfId="0" applyNumberFormat="1" applyFont="1" applyFill="1" applyBorder="1" applyAlignment="1">
      <x:alignment horizontal="center" vertical="center"/>
    </x:xf>
    <x:xf numFmtId="0" fontId="9" fillId="6" borderId="7" xfId="0" applyNumberFormat="1" applyFont="1" applyFill="1" applyBorder="1" applyAlignment="1">
      <x:alignment horizontal="center" vertical="center"/>
    </x:xf>
    <x:xf numFmtId="0" fontId="9" fillId="6" borderId="0" xfId="0" applyNumberFormat="1" applyFont="1" applyFill="1" applyBorder="1" applyAlignment="1">
      <x:alignment horizontal="center" vertical="center"/>
    </x:xf>
    <x:xf numFmtId="0" fontId="9" fillId="6" borderId="8" xfId="0" applyNumberFormat="1" applyFont="1" applyFill="1" applyBorder="1" applyAlignment="1">
      <x:alignment horizontal="center" vertical="center"/>
    </x:xf>
    <x:xf numFmtId="0" fontId="9" fillId="6" borderId="9" xfId="0" applyNumberFormat="1" applyFont="1" applyFill="1" applyBorder="1" applyAlignment="1">
      <x:alignment horizontal="center" vertical="center"/>
    </x:xf>
    <x:xf numFmtId="0" fontId="9" fillId="6" borderId="10" xfId="0" applyNumberFormat="1" applyFont="1" applyFill="1" applyBorder="1" applyAlignment="1">
      <x:alignment horizontal="center" vertical="center"/>
    </x:xf>
    <x:xf numFmtId="0" fontId="9" fillId="6" borderId="11" xfId="0" applyNumberFormat="1" applyFont="1" applyFill="1" applyBorder="1" applyAlignment="1">
      <x:alignment horizontal="center" vertical="center"/>
    </x:xf>
    <x:xf numFmtId="0" fontId="0" fillId="6" borderId="1" xfId="0" applyNumberFormat="1" applyFont="1" applyFill="1" applyBorder="1"/>
    <x:xf numFmtId="0" fontId="9" fillId="6" borderId="1" xfId="0" applyNumberFormat="1" applyFont="1" applyFill="1" applyBorder="1"/>
    <x:xf numFmtId="0" fontId="9" fillId="6" borderId="12" xfId="0" applyNumberFormat="1" applyFont="1" applyFill="1" applyBorder="1"/>
    <x:xf numFmtId="0" fontId="9" fillId="6" borderId="13" xfId="0" applyNumberFormat="1" applyFont="1" applyFill="1" applyBorder="1"/>
    <x:xf numFmtId="0" fontId="9" fillId="6" borderId="14" xfId="0" applyNumberFormat="1" applyFont="1" applyFill="1" applyBorder="1"/>
    <x:xf numFmtId="0" fontId="9" fillId="6" borderId="15" xfId="0" applyNumberFormat="1" applyFont="1" applyFill="1" applyBorder="1"/>
    <x:xf numFmtId="0" fontId="9" fillId="6" borderId="16" xfId="0" applyNumberFormat="1" applyFont="1" applyFill="1" applyBorder="1"/>
    <x:xf numFmtId="0" fontId="9" fillId="6" borderId="17" xfId="0" applyNumberFormat="1" applyFont="1" applyFill="1" applyBorder="1"/>
    <x:xf numFmtId="0" fontId="9" fillId="6" borderId="18" xfId="0" applyNumberFormat="1" applyFont="1" applyFill="1" applyBorder="1"/>
    <x:xf numFmtId="0" fontId="9" fillId="6" borderId="19" xfId="0" applyNumberFormat="1" applyFont="1" applyFill="1" applyBorder="1"/>
    <x:xf numFmtId="0" fontId="9" fillId="6" borderId="12" xfId="0" applyNumberFormat="1" applyFont="1" applyFill="1" applyBorder="1" applyAlignment="1">
      <x:alignment horizontal="center"/>
    </x:xf>
    <x:xf numFmtId="0" fontId="9" fillId="6" borderId="13" xfId="0" applyNumberFormat="1" applyFont="1" applyFill="1" applyBorder="1" applyAlignment="1">
      <x:alignment horizontal="center"/>
    </x:xf>
    <x:xf numFmtId="0" fontId="9" fillId="6" borderId="14" xfId="0" applyNumberFormat="1" applyFont="1" applyFill="1" applyBorder="1" applyAlignment="1">
      <x:alignment horizontal="center"/>
    </x:xf>
    <x:xf numFmtId="0" fontId="9" fillId="6" borderId="15" xfId="0" applyNumberFormat="1" applyFont="1" applyFill="1" applyBorder="1" applyAlignment="1">
      <x:alignment horizontal="center"/>
    </x:xf>
    <x:xf numFmtId="0" fontId="9" fillId="6" borderId="1" xfId="0" applyNumberFormat="1" applyFont="1" applyFill="1" applyBorder="1" applyAlignment="1">
      <x:alignment horizontal="center"/>
    </x:xf>
    <x:xf numFmtId="0" fontId="9" fillId="6" borderId="16" xfId="0" applyNumberFormat="1" applyFont="1" applyFill="1" applyBorder="1" applyAlignment="1">
      <x:alignment horizontal="center"/>
    </x:xf>
    <x:xf numFmtId="0" fontId="9" fillId="6" borderId="17" xfId="0" applyNumberFormat="1" applyFont="1" applyFill="1" applyBorder="1" applyAlignment="1">
      <x:alignment horizontal="center"/>
    </x:xf>
    <x:xf numFmtId="0" fontId="9" fillId="6" borderId="18" xfId="0" applyNumberFormat="1" applyFont="1" applyFill="1" applyBorder="1" applyAlignment="1">
      <x:alignment horizontal="center"/>
    </x:xf>
    <x:xf numFmtId="0" fontId="9" fillId="6" borderId="19" xfId="0" applyNumberFormat="1" applyFont="1" applyFill="1" applyBorder="1" applyAlignment="1">
      <x:alignment horizontal="center"/>
    </x:xf>
    <x:xf numFmtId="0" fontId="9" fillId="6" borderId="12" xfId="0" applyNumberFormat="1" applyFont="1" applyFill="1" applyBorder="1" applyAlignment="1">
      <x:alignment horizontal="center" vertical="center"/>
    </x:xf>
    <x:xf numFmtId="0" fontId="9" fillId="6" borderId="13" xfId="0" applyNumberFormat="1" applyFont="1" applyFill="1" applyBorder="1" applyAlignment="1">
      <x:alignment horizontal="center" vertical="center"/>
    </x:xf>
    <x:xf numFmtId="0" fontId="9" fillId="6" borderId="14" xfId="0" applyNumberFormat="1" applyFont="1" applyFill="1" applyBorder="1" applyAlignment="1">
      <x:alignment horizontal="center" vertical="center"/>
    </x:xf>
    <x:xf numFmtId="0" fontId="9" fillId="6" borderId="15" xfId="0" applyNumberFormat="1" applyFont="1" applyFill="1" applyBorder="1" applyAlignment="1">
      <x:alignment horizontal="center" vertical="center"/>
    </x:xf>
    <x:xf numFmtId="0" fontId="9" fillId="6" borderId="1" xfId="0" applyNumberFormat="1" applyFont="1" applyFill="1" applyBorder="1" applyAlignment="1">
      <x:alignment horizontal="center" vertical="center"/>
    </x:xf>
    <x:xf numFmtId="0" fontId="9" fillId="6" borderId="16" xfId="0" applyNumberFormat="1" applyFont="1" applyFill="1" applyBorder="1" applyAlignment="1">
      <x:alignment horizontal="center" vertical="center"/>
    </x:xf>
    <x:xf numFmtId="0" fontId="9" fillId="6" borderId="17" xfId="0" applyNumberFormat="1" applyFont="1" applyFill="1" applyBorder="1" applyAlignment="1">
      <x:alignment horizontal="center" vertical="center"/>
    </x:xf>
    <x:xf numFmtId="0" fontId="9" fillId="6" borderId="18" xfId="0" applyNumberFormat="1" applyFont="1" applyFill="1" applyBorder="1" applyAlignment="1">
      <x:alignment horizontal="center" vertical="center"/>
    </x:xf>
    <x:xf numFmtId="0" fontId="9" fillId="6" borderId="19" xfId="0" applyNumberFormat="1" applyFont="1" applyFill="1" applyBorder="1" applyAlignment="1">
      <x:alignment horizontal="center" vertical="center"/>
    </x:xf>
    <x:xf numFmtId="200" fontId="9" fillId="6" borderId="4" xfId="0" applyNumberFormat="1" applyFont="1" applyFill="1" applyBorder="1" applyAlignment="1">
      <x:alignment horizontal="center" vertical="center"/>
    </x:xf>
    <x:xf numFmtId="200" fontId="9" fillId="6" borderId="12" xfId="0" applyNumberFormat="1" applyFont="1" applyFill="1" applyBorder="1" applyAlignment="1">
      <x:alignment horizontal="center" vertical="center"/>
    </x:xf>
    <x:xf numFmtId="201" fontId="9" fillId="6" borderId="4" xfId="0" applyNumberFormat="1" applyFont="1" applyFill="1" applyBorder="1" applyAlignment="1">
      <x:alignment horizontal="center" vertical="center"/>
    </x:xf>
    <x:xf numFmtId="201" fontId="9" fillId="6" borderId="12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40c5271dfae4601" /><Relationship Type="http://schemas.openxmlformats.org/officeDocument/2006/relationships/theme" Target="/xl/theme/theme1.xml" Id="Rce6dac842ccd4fb1" /><Relationship Type="http://schemas.openxmlformats.org/officeDocument/2006/relationships/sharedStrings" Target="/xl/sharedStrings.xml" Id="Rf82a51c7d3214dae" /><Relationship Type="http://schemas.openxmlformats.org/officeDocument/2006/relationships/worksheet" Target="/xl/worksheets/sheet1.xml" Id="Rc58bd33480594f1c" /><Relationship Type="http://schemas.openxmlformats.org/officeDocument/2006/relationships/worksheet" Target="/xl/worksheets/sheet2.xml" Id="Re881f4397ce84274" /><Relationship Type="http://schemas.openxmlformats.org/officeDocument/2006/relationships/worksheet" Target="/xl/worksheets/sheet3.xml" Id="R53be4feb8aa54906" /><Relationship Type="http://schemas.openxmlformats.org/officeDocument/2006/relationships/worksheet" Target="/xl/worksheets/sheet4.xml" Id="R03a50fb983934b4c" /><Relationship Type="http://schemas.openxmlformats.org/officeDocument/2006/relationships/worksheet" Target="/xl/worksheets/sheet5.xml" Id="Rf56ea506ab7a4906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04cd0054a8964ebd" /><Relationship Type="http://schemas.openxmlformats.org/officeDocument/2006/relationships/chart" Target="/xl/drawings/charts/chart2.xml" Id="Rbf8e113046c94ceb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5-Year Profitability Trend</a:t>
            </a:r>
          </a:p>
        </c:rich>
      </c:tx>
    </c:title>
    <c:plotArea>
      <c:lineChart>
        <c:grouping val="standard"/>
        <c:varyColors val="0"/>
        <c:ser>
          <c:idx val="0"/>
          <c:order val="0"/>
          <c:tx>
            <c:v>Revenue</c:v>
          </c:tx>
          <c:marker>
            <c:symbol val="none"/>
          </c:marker>
          <c:cat>
            <c:strRef>
              <c:f>'Dashboard'!$A$11:$A$15</c:f>
              <c:strCache>
                <c:ptCount val="0"/>
              </c:strCache>
            </c:strRef>
          </c:cat>
          <c:val>
            <c:numRef>
              <c:f>'Dashboard'!$B$11:$B$15</c:f>
              <c:numCache>
                <c:formatCode>$#,##0;[Red]($#,##0);-</c:formatCode>
                <c:ptCount val="0"/>
              </c:numCache>
            </c:numRef>
          </c:val>
        </c:ser>
        <c:ser>
          <c:idx val="1"/>
          <c:order val="1"/>
          <c:tx>
            <c:v>EBITDA</c:v>
          </c:tx>
          <c:marker>
            <c:symbol val="none"/>
          </c:marker>
          <c:cat>
            <c:strRef>
              <c:f>'Dashboard'!$A$11:$A$15</c:f>
              <c:strCache>
                <c:ptCount val="0"/>
              </c:strCache>
            </c:strRef>
          </c:cat>
          <c:val>
            <c:numRef>
              <c:f>'Dashboard'!$C$11:$C$15</c:f>
              <c:numCache>
                <c:formatCode>$#,##0;[Red]($#,##0);-</c:formatCode>
                <c:ptCount val="0"/>
              </c:numCache>
            </c:numRef>
          </c:val>
        </c:ser>
        <c:ser>
          <c:idx val="2"/>
          <c:order val="2"/>
          <c:tx>
            <c:v>Net Income</c:v>
          </c:tx>
          <c:marker>
            <c:symbol val="none"/>
          </c:marker>
          <c:cat>
            <c:strRef>
              <c:f>'Dashboard'!$A$11:$A$15</c:f>
              <c:strCache>
                <c:ptCount val="0"/>
              </c:strCache>
            </c:strRef>
          </c:cat>
          <c:val>
            <c:numRef>
              <c:f>'Dashboard'!$D$11:$D$15</c:f>
              <c:numCache>
                <c:formatCode>$#,##0;[Red]($#,##0);-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2031 Scenario Comparison</a:t>
            </a:r>
          </a:p>
        </c:rich>
      </c:tx>
    </c:title>
    <c:plotArea>
      <c:barChart>
        <c:barDir val="col"/>
        <c:grouping val="clustered"/>
        <c:varyColors val="0"/>
        <c:ser>
          <c:idx val="0"/>
          <c:order val="0"/>
          <c:tx>
            <c:v>2031 Revenue</c:v>
          </c:tx>
          <c:cat>
            <c:strRef>
              <c:f>'Dashboard'!$A$20:$A$22</c:f>
              <c:strCache>
                <c:ptCount val="0"/>
              </c:strCache>
            </c:strRef>
          </c:cat>
          <c:val>
            <c:numRef>
              <c:f>'Dashboard'!$B$20:$B$22</c:f>
              <c:numCache>
                <c:formatCode>$#,##0;[Red]($#,##0);-</c:formatCode>
                <c:ptCount val="0"/>
              </c:numCache>
            </c:numRef>
          </c:val>
        </c:ser>
        <c:ser>
          <c:idx val="1"/>
          <c:order val="1"/>
          <c:tx>
            <c:v>2031 EBITDA</c:v>
          </c:tx>
          <c:cat>
            <c:strRef>
              <c:f>'Dashboard'!$A$20:$A$22</c:f>
              <c:strCache>
                <c:ptCount val="0"/>
              </c:strCache>
            </c:strRef>
          </c:cat>
          <c:val>
            <c:numRef>
              <c:f>'Dashboard'!$C$20:$C$22</c:f>
              <c:numCache>
                <c:formatCode>$#,##0;[Red]($#,##0);-</c:formatCode>
                <c:ptCount val="0"/>
              </c:numCache>
            </c:numRef>
          </c:val>
        </c:ser>
        <c:ser>
          <c:idx val="2"/>
          <c:order val="2"/>
          <c:tx>
            <c:v>Net Income</c:v>
          </c:tx>
          <c:cat>
            <c:strRef>
              <c:f>'Dashboard'!$A$20:$A$22</c:f>
              <c:strCache>
                <c:ptCount val="0"/>
              </c:strCache>
            </c:strRef>
          </c:cat>
          <c:val>
            <c:numRef>
              <c:f>'Dashboard'!$D$20:$D$22</c:f>
              <c:numCache>
                <c:formatCode>$#,##0;[Red]($#,##0);-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9</xdr:row>
      <xdr:rowOff>0</xdr:rowOff>
    </xdr:from>
    <xdr:to>
      <xdr:col>12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4cd0054a8964ebd"/>
        </a:graphicData>
      </a:graphic>
    </xdr:graphicFrame>
    <xdr:clientData/>
  </xdr:twoCellAnchor>
  <xdr:twoCellAnchor>
    <xdr:from>
      <xdr:col>5</xdr:col>
      <xdr:colOff>0</xdr:colOff>
      <xdr:row>23</xdr:row>
      <xdr:rowOff>0</xdr:rowOff>
    </xdr:from>
    <xdr:to>
      <xdr:col>12</xdr:col>
      <xdr:colOff>0</xdr:colOff>
      <xdr:row>37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f8e113046c94ceb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ScenarioTable" displayName="ScenarioTable" ref="A3:F6" headerRowCount="1" totalsRowCount="0" totalsRowShown="0">
  <x:tableColumns count="6">
    <x:tableColumn id="1" name="Scenario"/>
    <x:tableColumn id="2" name="2031 Revenue"/>
    <x:tableColumn id="3" name="2031 EBITDA"/>
    <x:tableColumn id="4" name="EBITDA Margin"/>
    <x:tableColumn id="5" name="2031 Net Income"/>
    <x:tableColumn id="6" name="5Y Revenue CAGR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c0ff458507b54d8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1.xml" Id="R685cf189f65e49ca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38" hidden="0" customWidth="1"/>
  </x:cols>
  <x:sheetData>
    <x:row r="1">
      <x:c r="A1" s="5" t="str">
        <x:v>5-Year Financial Model – Assumptions</x:v>
      </x:c>
      <x:c r="B1" s="5"/>
      <x:c r="C1" s="5"/>
      <x:c r="D1" s="5"/>
      <x:c r="E1" s="5"/>
    </x:row>
    <x:row r="3">
      <x:c r="A3" s="13" t="str">
        <x:v>Assumption</x:v>
      </x:c>
      <x:c r="B3" s="13" t="str">
        <x:v>Base</x:v>
      </x:c>
      <x:c r="C3" s="13" t="str">
        <x:v>Bull</x:v>
      </x:c>
      <x:c r="D3" s="13" t="str">
        <x:v>Bear</x:v>
      </x:c>
      <x:c r="E3" s="13" t="str">
        <x:v>Notes</x:v>
      </x:c>
    </x:row>
    <x:row r="4">
      <x:c r="A4" t="str">
        <x:v>Starting Revenue ($)</x:v>
      </x:c>
      <x:c r="B4" s="26" t="n">
        <x:v>25000000</x:v>
      </x:c>
      <x:c r="C4" s="26" t="n">
        <x:v>25000000</x:v>
      </x:c>
      <x:c r="D4" s="26" t="n">
        <x:v>25000000</x:v>
      </x:c>
      <x:c r="E4" t="str">
        <x:v>Synthetic starting point</x:v>
      </x:c>
    </x:row>
    <x:row r="5">
      <x:c r="A5" t="str">
        <x:v>Revenue Growth</x:v>
      </x:c>
      <x:c r="B5" s="27" t="n">
        <x:v>0.08</x:v>
      </x:c>
      <x:c r="C5" s="27" t="n">
        <x:v>0.12</x:v>
      </x:c>
      <x:c r="D5" s="27" t="n">
        <x:v>0.04</x:v>
      </x:c>
      <x:c r="E5" t="str">
        <x:v>Annual growth</x:v>
      </x:c>
    </x:row>
    <x:row r="6">
      <x:c r="A6" t="str">
        <x:v>COGS % Revenue</x:v>
      </x:c>
      <x:c r="B6" s="27" t="n">
        <x:v>0.56</x:v>
      </x:c>
      <x:c r="C6" s="27" t="n">
        <x:v>0.54</x:v>
      </x:c>
      <x:c r="D6" s="27" t="n">
        <x:v>0.59</x:v>
      </x:c>
      <x:c r="E6" t="str">
        <x:v>Gross margin driver</x:v>
      </x:c>
    </x:row>
    <x:row r="7">
      <x:c r="A7" t="str">
        <x:v>OpEx % Revenue</x:v>
      </x:c>
      <x:c r="B7" s="27" t="n">
        <x:v>0.24</x:v>
      </x:c>
      <x:c r="C7" s="27" t="n">
        <x:v>0.225</x:v>
      </x:c>
      <x:c r="D7" s="27" t="n">
        <x:v>0.265</x:v>
      </x:c>
      <x:c r="E7" t="str">
        <x:v>Operating cost driver</x:v>
      </x:c>
    </x:row>
    <x:row r="8">
      <x:c r="A8" t="str">
        <x:v>D&amp;A % Revenue</x:v>
      </x:c>
      <x:c r="B8" s="27" t="n">
        <x:v>0.025</x:v>
      </x:c>
      <x:c r="C8" s="27" t="n">
        <x:v>0.023</x:v>
      </x:c>
      <x:c r="D8" s="27" t="n">
        <x:v>0.027</x:v>
      </x:c>
      <x:c r="E8" t="str">
        <x:v>Non-cash expense</x:v>
      </x:c>
    </x:row>
    <x:row r="9">
      <x:c r="A9" t="str">
        <x:v>Tax Rate</x:v>
      </x:c>
      <x:c r="B9" s="27" t="n">
        <x:v>0.25</x:v>
      </x:c>
      <x:c r="C9" s="27" t="n">
        <x:v>0.25</x:v>
      </x:c>
      <x:c r="D9" s="27" t="n">
        <x:v>0.25</x:v>
      </x:c>
      <x:c r="E9" t="str">
        <x:v>Illustrative tax rate</x:v>
      </x:c>
    </x:row>
    <x:row r="10">
      <x:c r="A10" t="str">
        <x:v>Capex % Revenue</x:v>
      </x:c>
      <x:c r="B10" s="27" t="n">
        <x:v>0.035</x:v>
      </x:c>
      <x:c r="C10" s="27" t="n">
        <x:v>0.04</x:v>
      </x:c>
      <x:c r="D10" s="27" t="n">
        <x:v>0.03</x:v>
      </x:c>
      <x:c r="E10" t="str">
        <x:v>Capital investment</x:v>
      </x:c>
    </x:row>
    <x:row r="11">
      <x:c r="A11" t="str">
        <x:v>NWC % Revenue</x:v>
      </x:c>
      <x:c r="B11" s="27" t="n">
        <x:v>0.08</x:v>
      </x:c>
      <x:c r="C11" s="27" t="n">
        <x:v>0.075</x:v>
      </x:c>
      <x:c r="D11" s="27" t="n">
        <x:v>0.09</x:v>
      </x:c>
      <x:c r="E11" t="str">
        <x:v>Working capital assumption</x:v>
      </x:c>
    </x:row>
    <x:row r="13">
      <x:c r="A13" s="31" t="str">
        <x:v>Model Note</x:v>
      </x:c>
      <x:c r="B13" s="31" t="str"/>
      <x:c r="C13" s="31" t="str"/>
      <x:c r="D13" s="31" t="str"/>
      <x:c r="E13" s="31" t="str"/>
    </x:row>
    <x:row r="14">
      <x:c r="A14" t="str">
        <x:v>Data Type</x:v>
      </x:c>
      <x:c r="B14" t="str">
        <x:v>Synthetic</x:v>
      </x:c>
      <x:c r="C14" t="str"/>
      <x:c r="D14" t="str"/>
      <x:c r="E14" t="str">
        <x:v>Portfolio demonstration only; no employer-confidential data.</x:v>
      </x:c>
    </x:row>
    <x:row r="15">
      <x:c r="A15" t="str">
        <x:v>Scenario Use</x:v>
      </x:c>
      <x:c r="B15" t="str">
        <x:v>Base / Bull / Bear</x:v>
      </x:c>
      <x:c r="C15" t="str"/>
      <x:c r="D15" t="str"/>
      <x:c r="E15" t="str">
        <x:v>Change assumptions to test operating outcomes.</x:v>
      </x:c>
    </x:row>
  </x:sheetData>
  <x:mergeCells>
    <x:mergeCell ref="A1:E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</x:cols>
  <x:sheetData>
    <x:row r="1">
      <x:c r="A1" s="5" t="str">
        <x:v>Base Case – 5-Year Income Statement Forecast ($)</x:v>
      </x:c>
      <x:c r="B1" s="5"/>
      <x:c r="C1" s="5"/>
      <x:c r="D1" s="5"/>
      <x:c r="E1" s="5"/>
      <x:c r="F1" s="5"/>
    </x:row>
    <x:row r="3">
      <x:c r="A3" s="13" t="str">
        <x:v>Metric</x:v>
      </x:c>
      <x:c r="B3" s="13" t="n">
        <x:v>2027</x:v>
      </x:c>
      <x:c r="C3" s="13" t="n">
        <x:v>2028</x:v>
      </x:c>
      <x:c r="D3" s="13" t="n">
        <x:v>2029</x:v>
      </x:c>
      <x:c r="E3" s="13" t="n">
        <x:v>2030</x:v>
      </x:c>
      <x:c r="F3" s="13" t="n">
        <x:v>2031</x:v>
      </x:c>
    </x:row>
    <x:row r="4">
      <x:c r="A4" t="str">
        <x:v>Revenue</x:v>
      </x:c>
      <x:c r="B4" s="38" t="n">
        <x:f>Assumptions!B4*(1+Assumptions!B5)</x:f>
        <x:v>27000000</x:v>
      </x:c>
      <x:c r="C4" s="38" t="n">
        <x:f>B4*(1+Assumptions!B5)</x:f>
        <x:v>29160000.000000004</x:v>
      </x:c>
      <x:c r="D4" s="38" t="n">
        <x:f>C4*(1+Assumptions!B5)</x:f>
        <x:v>31492800.000000007</x:v>
      </x:c>
      <x:c r="E4" s="38" t="n">
        <x:f>D4*(1+Assumptions!B5)</x:f>
        <x:v>34012224.00000001</x:v>
      </x:c>
      <x:c r="F4" s="38" t="n">
        <x:f>E4*(1+Assumptions!B5)</x:f>
        <x:v>36733201.92000001</x:v>
      </x:c>
    </x:row>
    <x:row r="5">
      <x:c r="A5" t="str">
        <x:v>Revenue Growth</x:v>
      </x:c>
      <x:c r="B5" s="42" t="n">
        <x:f>Assumptions!B5</x:f>
        <x:v>0.08</x:v>
      </x:c>
      <x:c r="C5" s="42" t="n">
        <x:f>Assumptions!B5</x:f>
        <x:v>0.08</x:v>
      </x:c>
      <x:c r="D5" s="42" t="n">
        <x:f>Assumptions!B5</x:f>
        <x:v>0.08</x:v>
      </x:c>
      <x:c r="E5" s="42" t="n">
        <x:f>Assumptions!B5</x:f>
        <x:v>0.08</x:v>
      </x:c>
      <x:c r="F5" s="42" t="n">
        <x:f>Assumptions!B5</x:f>
        <x:v>0.08</x:v>
      </x:c>
    </x:row>
    <x:row r="6">
      <x:c r="A6" t="str">
        <x:v>COGS</x:v>
      </x:c>
      <x:c r="B6" s="38" t="n">
        <x:f>B4*Assumptions!B6</x:f>
        <x:v>15120000.000000002</x:v>
      </x:c>
      <x:c r="C6" s="38" t="n">
        <x:f>C4*Assumptions!B6</x:f>
        <x:v>16329600.000000004</x:v>
      </x:c>
      <x:c r="D6" s="38" t="n">
        <x:f>D4*Assumptions!B6</x:f>
        <x:v>17635968.000000007</x:v>
      </x:c>
      <x:c r="E6" s="38" t="n">
        <x:f>E4*Assumptions!B6</x:f>
        <x:v>19046845.440000005</x:v>
      </x:c>
      <x:c r="F6" s="38" t="n">
        <x:f>F4*Assumptions!B6</x:f>
        <x:v>20570593.075200006</x:v>
      </x:c>
    </x:row>
    <x:row r="7">
      <x:c r="A7" s="46" t="str">
        <x:v>Gross Profit</x:v>
      </x:c>
      <x:c r="B7" s="47" t="n">
        <x:f>B4-B6</x:f>
        <x:v>11879999.999999998</x:v>
      </x:c>
      <x:c r="C7" s="47" t="n">
        <x:f>C4-C6</x:f>
        <x:v>12830400</x:v>
      </x:c>
      <x:c r="D7" s="47" t="n">
        <x:f>D4-D6</x:f>
        <x:v>13856832</x:v>
      </x:c>
      <x:c r="E7" s="47" t="n">
        <x:f>E4-E6</x:f>
        <x:v>14965378.560000002</x:v>
      </x:c>
      <x:c r="F7" s="47" t="n">
        <x:f>F4-F6</x:f>
        <x:v>16162608.844800003</x:v>
      </x:c>
    </x:row>
    <x:row r="8">
      <x:c r="A8" t="str">
        <x:v>Gross Margin</x:v>
      </x:c>
      <x:c r="B8" s="44" t="n">
        <x:f>B7/B4</x:f>
        <x:v>0.43999999999999995</x:v>
      </x:c>
      <x:c r="C8" s="44" t="n">
        <x:f>C7/C4</x:f>
        <x:v>0.43999999999999995</x:v>
      </x:c>
      <x:c r="D8" s="44" t="n">
        <x:f>D7/D4</x:f>
        <x:v>0.4399999999999999</x:v>
      </x:c>
      <x:c r="E8" s="44" t="n">
        <x:f>E7/E4</x:f>
        <x:v>0.43999999999999995</x:v>
      </x:c>
      <x:c r="F8" s="44" t="n">
        <x:f>F7/F4</x:f>
        <x:v>0.43999999999999995</x:v>
      </x:c>
    </x:row>
    <x:row r="9">
      <x:c r="A9" t="str">
        <x:v>Operating Expenses</x:v>
      </x:c>
      <x:c r="B9" s="38" t="n">
        <x:f>B4*Assumptions!B7</x:f>
        <x:v>6480000</x:v>
      </x:c>
      <x:c r="C9" s="38" t="n">
        <x:f>C4*Assumptions!B7</x:f>
        <x:v>6998400.000000001</x:v>
      </x:c>
      <x:c r="D9" s="38" t="n">
        <x:f>D4*Assumptions!B7</x:f>
        <x:v>7558272.000000002</x:v>
      </x:c>
      <x:c r="E9" s="38" t="n">
        <x:f>E4*Assumptions!B7</x:f>
        <x:v>8162933.760000002</x:v>
      </x:c>
      <x:c r="F9" s="38" t="n">
        <x:f>F4*Assumptions!B7</x:f>
        <x:v>8815968.460800001</x:v>
      </x:c>
    </x:row>
    <x:row r="10">
      <x:c r="A10" s="46" t="str">
        <x:v>EBITDA</x:v>
      </x:c>
      <x:c r="B10" s="47" t="n">
        <x:f>B7-B9</x:f>
        <x:v>5399999.999999998</x:v>
      </x:c>
      <x:c r="C10" s="47" t="n">
        <x:f>C7-C9</x:f>
        <x:v>5831999.999999999</x:v>
      </x:c>
      <x:c r="D10" s="47" t="n">
        <x:f>D7-D9</x:f>
        <x:v>6298559.999999998</x:v>
      </x:c>
      <x:c r="E10" s="47" t="n">
        <x:f>E7-E9</x:f>
        <x:v>6802444.800000001</x:v>
      </x:c>
      <x:c r="F10" s="47" t="n">
        <x:f>F7-F9</x:f>
        <x:v>7346640.3840000015</x:v>
      </x:c>
    </x:row>
    <x:row r="11">
      <x:c r="A11" t="str">
        <x:v>EBITDA Margin</x:v>
      </x:c>
      <x:c r="B11" s="44" t="n">
        <x:f>B10/B4</x:f>
        <x:v>0.19999999999999993</x:v>
      </x:c>
      <x:c r="C11" s="44" t="n">
        <x:f>C10/C4</x:f>
        <x:v>0.19999999999999996</x:v>
      </x:c>
      <x:c r="D11" s="44" t="n">
        <x:f>D10/D4</x:f>
        <x:v>0.1999999999999999</x:v>
      </x:c>
      <x:c r="E11" s="44" t="n">
        <x:f>E10/E4</x:f>
        <x:v>0.19999999999999998</x:v>
      </x:c>
      <x:c r="F11" s="44" t="n">
        <x:f>F10/F4</x:f>
        <x:v>0.19999999999999998</x:v>
      </x:c>
    </x:row>
    <x:row r="12">
      <x:c r="A12" t="str">
        <x:v>D&amp;A</x:v>
      </x:c>
      <x:c r="B12" s="38" t="n">
        <x:f>B4*Assumptions!B8</x:f>
        <x:v>675000</x:v>
      </x:c>
      <x:c r="C12" s="38" t="n">
        <x:f>C4*Assumptions!B8</x:f>
        <x:v>729000.0000000001</x:v>
      </x:c>
      <x:c r="D12" s="38" t="n">
        <x:f>D4*Assumptions!B8</x:f>
        <x:v>787320.0000000002</x:v>
      </x:c>
      <x:c r="E12" s="38" t="n">
        <x:f>E4*Assumptions!B8</x:f>
        <x:v>850305.6000000002</x:v>
      </x:c>
      <x:c r="F12" s="38" t="n">
        <x:f>F4*Assumptions!B8</x:f>
        <x:v>918330.0480000003</x:v>
      </x:c>
    </x:row>
    <x:row r="13">
      <x:c r="A13" t="str">
        <x:v>EBIT</x:v>
      </x:c>
      <x:c r="B13" s="40" t="n">
        <x:f>B10-B12</x:f>
        <x:v>4724999.999999998</x:v>
      </x:c>
      <x:c r="C13" s="40" t="n">
        <x:f>C10-C12</x:f>
        <x:v>5102999.999999999</x:v>
      </x:c>
      <x:c r="D13" s="40" t="n">
        <x:f>D10-D12</x:f>
        <x:v>5511239.999999998</x:v>
      </x:c>
      <x:c r="E13" s="40" t="n">
        <x:f>E10-E12</x:f>
        <x:v>5952139.2</x:v>
      </x:c>
      <x:c r="F13" s="40" t="n">
        <x:f>F10-F12</x:f>
        <x:v>6428310.336000001</x:v>
      </x:c>
    </x:row>
    <x:row r="14">
      <x:c r="A14" t="str">
        <x:v>Taxes</x:v>
      </x:c>
      <x:c r="B14" s="40" t="n">
        <x:f>MAX(B13,0)*Assumptions!B9</x:f>
        <x:v>1181249.9999999995</x:v>
      </x:c>
      <x:c r="C14" s="40" t="n">
        <x:f>MAX(C13,0)*Assumptions!B9</x:f>
        <x:v>1275749.9999999998</x:v>
      </x:c>
      <x:c r="D14" s="40" t="n">
        <x:f>MAX(D13,0)*Assumptions!B9</x:f>
        <x:v>1377809.9999999995</x:v>
      </x:c>
      <x:c r="E14" s="40" t="n">
        <x:f>MAX(E13,0)*Assumptions!B9</x:f>
        <x:v>1488034.8</x:v>
      </x:c>
      <x:c r="F14" s="40" t="n">
        <x:f>MAX(F13,0)*Assumptions!B9</x:f>
        <x:v>1607077.5840000003</x:v>
      </x:c>
    </x:row>
    <x:row r="15">
      <x:c r="A15" s="46" t="str">
        <x:v>Net Income</x:v>
      </x:c>
      <x:c r="B15" s="47" t="n">
        <x:f>B13-B14</x:f>
        <x:v>3543749.9999999986</x:v>
      </x:c>
      <x:c r="C15" s="47" t="n">
        <x:f>C13-C14</x:f>
        <x:v>3827249.999999999</x:v>
      </x:c>
      <x:c r="D15" s="47" t="n">
        <x:f>D13-D14</x:f>
        <x:v>4133429.9999999986</x:v>
      </x:c>
      <x:c r="E15" s="47" t="n">
        <x:f>E13-E14</x:f>
        <x:v>4464104.4</x:v>
      </x:c>
      <x:c r="F15" s="47" t="n">
        <x:f>F13-F14</x:f>
        <x:v>4821232.752</x:v>
      </x:c>
    </x:row>
    <x:row r="16">
      <x:c r="A16" t="str">
        <x:v>Net Margin</x:v>
      </x:c>
      <x:c r="B16" s="44" t="n">
        <x:f>B15/B4</x:f>
        <x:v>0.13124999999999995</x:v>
      </x:c>
      <x:c r="C16" s="44" t="n">
        <x:f>C15/C4</x:f>
        <x:v>0.13124999999999995</x:v>
      </x:c>
      <x:c r="D16" s="44" t="n">
        <x:f>D15/D4</x:f>
        <x:v>0.13124999999999992</x:v>
      </x:c>
      <x:c r="E16" s="44" t="n">
        <x:f>E15/E4</x:f>
        <x:v>0.13124999999999998</x:v>
      </x:c>
      <x:c r="F16" s="44" t="n">
        <x:f>F15/F4</x:f>
        <x:v>0.13124999999999998</x:v>
      </x:c>
    </x:row>
  </x:sheetData>
  <x:mergeCells>
    <x:mergeCell ref="A1:F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1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</x:cols>
  <x:sheetData>
    <x:row r="1">
      <x:c r="A1" s="5" t="str">
        <x:v>Base / Bull / Bear Scenario Analysis ($)</x:v>
      </x:c>
      <x:c r="B1" s="5"/>
      <x:c r="C1" s="5"/>
      <x:c r="D1" s="5"/>
      <x:c r="E1" s="5"/>
      <x:c r="F1" s="5"/>
    </x:row>
    <x:row r="3">
      <x:c r="A3" s="13" t="str">
        <x:v>Scenario</x:v>
      </x:c>
      <x:c r="B3" s="13" t="str">
        <x:v>2031 Revenue</x:v>
      </x:c>
      <x:c r="C3" s="13" t="str">
        <x:v>2031 EBITDA</x:v>
      </x:c>
      <x:c r="D3" s="13" t="str">
        <x:v>EBITDA Margin</x:v>
      </x:c>
      <x:c r="E3" s="13" t="str">
        <x:v>2031 Net Income</x:v>
      </x:c>
      <x:c r="F3" s="13" t="str">
        <x:v>5Y Revenue CAGR</x:v>
      </x:c>
    </x:row>
    <x:row r="4">
      <x:c r="A4" t="str">
        <x:v>Base</x:v>
      </x:c>
      <x:c r="B4" s="38" t="n">
        <x:f>Assumptions!B4*(1+Assumptions!B5)^5</x:f>
        <x:v>36733201.92000001</x:v>
      </x:c>
      <x:c r="C4" s="38" t="n">
        <x:f>B4*(1-Assumptions!B6-Assumptions!B7)</x:f>
        <x:v>7346640.384000001</x:v>
      </x:c>
      <x:c r="D4" s="42" t="n">
        <x:f>C4/B4</x:f>
        <x:v>0.19999999999999996</x:v>
      </x:c>
      <x:c r="E4" s="38" t="n">
        <x:f>(C4-B4*Assumptions!B8)*(1-Assumptions!B9)</x:f>
        <x:v>4821232.752</x:v>
      </x:c>
      <x:c r="F4" s="42" t="n">
        <x:f>(B4/Assumptions!B4)^(1/5)-1</x:f>
        <x:v>0.08000000000000007</x:v>
      </x:c>
    </x:row>
    <x:row r="5">
      <x:c r="A5" t="str">
        <x:v>Bull</x:v>
      </x:c>
      <x:c r="B5" s="38" t="n">
        <x:f>Assumptions!C4*(1+Assumptions!C5)^5</x:f>
        <x:v>44058542.08000001</x:v>
      </x:c>
      <x:c r="C5" s="38" t="n">
        <x:f>B5*(1-Assumptions!C6-Assumptions!C7)</x:f>
        <x:v>10353757.3888</x:v>
      </x:c>
      <x:c r="D5" s="42" t="n">
        <x:f>C5/B5</x:f>
        <x:v>0.23499999999999996</x:v>
      </x:c>
      <x:c r="E5" s="38" t="n">
        <x:f>(C5-B5*Assumptions!C8)*(1-Assumptions!C9)</x:f>
        <x:v>7005308.190719999</x:v>
      </x:c>
      <x:c r="F5" s="42" t="n">
        <x:f>(B5/Assumptions!C4)^(1/5)-1</x:f>
        <x:v>0.1200000000000001</x:v>
      </x:c>
    </x:row>
    <x:row r="6">
      <x:c r="A6" t="str">
        <x:v>Bear</x:v>
      </x:c>
      <x:c r="B6" s="38" t="n">
        <x:f>Assumptions!D4*(1+Assumptions!D5)^5</x:f>
        <x:v>30416322.56000001</x:v>
      </x:c>
      <x:c r="C6" s="38" t="n">
        <x:f>B6*(1-Assumptions!D6-Assumptions!D7)</x:f>
        <x:v>4410366.771200002</x:v>
      </x:c>
      <x:c r="D6" s="42" t="n">
        <x:f>C6/B6</x:f>
        <x:v>0.14500000000000002</x:v>
      </x:c>
      <x:c r="E6" s="38" t="n">
        <x:f>(C6-B6*Assumptions!D8)*(1-Assumptions!D9)</x:f>
        <x:v>2691844.5465600016</x:v>
      </x:c>
      <x:c r="F6" s="42" t="n">
        <x:f>(B6/Assumptions!D4)^(1/5)-1</x:f>
        <x:v>0.040000000000000036</x:v>
      </x:c>
    </x:row>
  </x:sheetData>
  <x:mergeCells>
    <x:mergeCell ref="A1:F1"/>
  </x:mergeCells>
  <x:conditionalFormatting sqref="B4:F6">
    <x:cfRule type="colorScale" priority="1">
      <x:colorScale>
        <x:cfvo type="min"/>
        <x:cfvo type="percentile" val="50"/>
        <x:cfvo type="max"/>
        <x:color rgb="FFF4CCCC"/>
        <x:color rgb="FFFFF2CC"/>
        <x:color rgb="FFD9EAD3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c0ff458507b54d81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</x:cols>
  <x:sheetData>
    <x:row r="1">
      <x:c r="A1" s="5" t="str">
        <x:v>Base Case – Free Cash Flow Forecast ($)</x:v>
      </x:c>
      <x:c r="B1" s="5"/>
      <x:c r="C1" s="5"/>
      <x:c r="D1" s="5"/>
      <x:c r="E1" s="5"/>
      <x:c r="F1" s="5"/>
    </x:row>
    <x:row r="3">
      <x:c r="A3" s="13" t="str">
        <x:v>Metric</x:v>
      </x:c>
      <x:c r="B3" s="13" t="n">
        <x:v>2027</x:v>
      </x:c>
      <x:c r="C3" s="13" t="n">
        <x:v>2028</x:v>
      </x:c>
      <x:c r="D3" s="13" t="n">
        <x:v>2029</x:v>
      </x:c>
      <x:c r="E3" s="13" t="n">
        <x:v>2030</x:v>
      </x:c>
      <x:c r="F3" s="13" t="n">
        <x:v>2031</x:v>
      </x:c>
    </x:row>
    <x:row r="4">
      <x:c r="A4" t="str">
        <x:v>EBITDA</x:v>
      </x:c>
      <x:c r="B4" s="38" t="n">
        <x:f>'5-Year Model'!B10</x:f>
        <x:v>5399999.999999998</x:v>
      </x:c>
      <x:c r="C4" s="38" t="n">
        <x:f>'5-Year Model'!C10</x:f>
        <x:v>5831999.999999999</x:v>
      </x:c>
      <x:c r="D4" s="38" t="n">
        <x:f>'5-Year Model'!D10</x:f>
        <x:v>6298559.999999998</x:v>
      </x:c>
      <x:c r="E4" s="38" t="n">
        <x:f>'5-Year Model'!E10</x:f>
        <x:v>6802444.800000001</x:v>
      </x:c>
      <x:c r="F4" s="38" t="n">
        <x:f>'5-Year Model'!F10</x:f>
        <x:v>7346640.3840000015</x:v>
      </x:c>
    </x:row>
    <x:row r="5">
      <x:c r="A5" t="str">
        <x:v>Less: Taxes</x:v>
      </x:c>
      <x:c r="B5" s="38" t="n">
        <x:f>-'5-Year Model'!B14</x:f>
        <x:v>-1181249.9999999995</x:v>
      </x:c>
      <x:c r="C5" s="38" t="n">
        <x:f>-'5-Year Model'!C14</x:f>
        <x:v>-1275749.9999999998</x:v>
      </x:c>
      <x:c r="D5" s="38" t="n">
        <x:f>-'5-Year Model'!D14</x:f>
        <x:v>-1377809.9999999995</x:v>
      </x:c>
      <x:c r="E5" s="38" t="n">
        <x:f>-'5-Year Model'!E14</x:f>
        <x:v>-1488034.8</x:v>
      </x:c>
      <x:c r="F5" s="38" t="n">
        <x:f>-'5-Year Model'!F14</x:f>
        <x:v>-1607077.5840000003</x:v>
      </x:c>
    </x:row>
    <x:row r="6">
      <x:c r="A6" t="str">
        <x:v>Add: D&amp;A</x:v>
      </x:c>
      <x:c r="B6" s="38" t="n">
        <x:f>'5-Year Model'!B12</x:f>
        <x:v>675000</x:v>
      </x:c>
      <x:c r="C6" s="38" t="n">
        <x:f>'5-Year Model'!C12</x:f>
        <x:v>729000.0000000001</x:v>
      </x:c>
      <x:c r="D6" s="38" t="n">
        <x:f>'5-Year Model'!D12</x:f>
        <x:v>787320.0000000002</x:v>
      </x:c>
      <x:c r="E6" s="38" t="n">
        <x:f>'5-Year Model'!E12</x:f>
        <x:v>850305.6000000002</x:v>
      </x:c>
      <x:c r="F6" s="38" t="n">
        <x:f>'5-Year Model'!F12</x:f>
        <x:v>918330.0480000003</x:v>
      </x:c>
    </x:row>
    <x:row r="7">
      <x:c r="A7" t="str">
        <x:v>Less: Capex</x:v>
      </x:c>
      <x:c r="B7" s="38" t="n">
        <x:f>-'5-Year Model'!B4*Assumptions!B10</x:f>
        <x:v>-945000.0000000001</x:v>
      </x:c>
      <x:c r="C7" s="38" t="n">
        <x:f>-'5-Year Model'!C4*Assumptions!B10</x:f>
        <x:v>-1020600.0000000002</x:v>
      </x:c>
      <x:c r="D7" s="38" t="n">
        <x:f>-'5-Year Model'!D4*Assumptions!B10</x:f>
        <x:v>-1102248.0000000005</x:v>
      </x:c>
      <x:c r="E7" s="38" t="n">
        <x:f>-'5-Year Model'!E4*Assumptions!B10</x:f>
        <x:v>-1190427.8400000003</x:v>
      </x:c>
      <x:c r="F7" s="38" t="n">
        <x:f>-'5-Year Model'!F4*Assumptions!B10</x:f>
        <x:v>-1285662.0672000004</x:v>
      </x:c>
    </x:row>
    <x:row r="8">
      <x:c r="A8" t="str">
        <x:v>Less: Change in NWC</x:v>
      </x:c>
      <x:c r="B8" s="38" t="n">
        <x:f>-('5-Year Model'!B4-Assumptions!B4)*Assumptions!B11</x:f>
        <x:v>-160000</x:v>
      </x:c>
      <x:c r="C8" s="38" t="n">
        <x:f>-('5-Year Model'!C4-'5-Year Model'!B4)*Assumptions!B11</x:f>
        <x:v>-172800.0000000003</x:v>
      </x:c>
      <x:c r="D8" s="38" t="n">
        <x:f>-('5-Year Model'!D4-'5-Year Model'!C4)*Assumptions!B11</x:f>
        <x:v>-186624.0000000003</x:v>
      </x:c>
      <x:c r="E8" s="38" t="n">
        <x:f>-('5-Year Model'!E4-'5-Year Model'!D4)*Assumptions!B11</x:f>
        <x:v>-201553.92</x:v>
      </x:c>
      <x:c r="F8" s="38" t="n">
        <x:f>-('5-Year Model'!F4-'5-Year Model'!E4)*Assumptions!B11</x:f>
        <x:v>-217678.23360000015</x:v>
      </x:c>
    </x:row>
    <x:row r="9">
      <x:c r="A9" s="46" t="str">
        <x:v>Free Cash Flow</x:v>
      </x:c>
      <x:c r="B9" s="50" t="n">
        <x:f>SUM(B4:B8)</x:f>
        <x:v>3788749.999999998</x:v>
      </x:c>
      <x:c r="C9" s="50" t="n">
        <x:f>SUM(C4:C8)</x:f>
        <x:v>4091849.9999999986</x:v>
      </x:c>
      <x:c r="D9" s="50" t="n">
        <x:f>SUM(D4:D8)</x:f>
        <x:v>4419197.999999998</x:v>
      </x:c>
      <x:c r="E9" s="50" t="n">
        <x:f>SUM(E4:E8)</x:f>
        <x:v>4772733.840000002</x:v>
      </x:c>
      <x:c r="F9" s="50" t="n">
        <x:f>SUM(F4:F8)</x:f>
        <x:v>5154552.547200001</x:v>
      </x:c>
    </x:row>
    <x:row r="10">
      <x:c r="A10" t="str">
        <x:v>FCF Margin</x:v>
      </x:c>
      <x:c r="B10" s="42" t="n">
        <x:f>B9/'5-Year Model'!B4</x:f>
        <x:v>0.14032407407407402</x:v>
      </x:c>
      <x:c r="C10" s="42" t="n">
        <x:f>C9/'5-Year Model'!C4</x:f>
        <x:v>0.14032407407407402</x:v>
      </x:c>
      <x:c r="D10" s="42" t="n">
        <x:f>D9/'5-Year Model'!D4</x:f>
        <x:v>0.140324074074074</x:v>
      </x:c>
      <x:c r="E10" s="42" t="n">
        <x:f>E9/'5-Year Model'!E4</x:f>
        <x:v>0.1403240740740741</x:v>
      </x:c>
      <x:c r="F10" s="42" t="n">
        <x:f>F9/'5-Year Model'!F4</x:f>
        <x:v>0.14032407407407407</x:v>
      </x:c>
    </x:row>
  </x:sheetData>
  <x:mergeCells>
    <x:mergeCell ref="A1:F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</x:cols>
  <x:sheetData>
    <x:row r="1">
      <x:c r="A1" s="54" t="str">
        <x:v>5-Year Financial Model &amp; Scenario Dashboard</x:v>
      </x:c>
      <x:c r="B1" s="54"/>
      <x:c r="C1" s="54"/>
      <x:c r="D1" s="54"/>
      <x:c r="E1" s="54"/>
      <x:c r="F1" s="54"/>
      <x:c r="G1" s="54"/>
      <x:c r="H1" s="54"/>
      <x:c r="I1" s="54"/>
      <x:c r="J1" s="54"/>
      <x:c r="K1" s="54"/>
      <x:c r="L1" s="54"/>
    </x:row>
    <x:row r="2">
      <x:c r="A2" s="54"/>
      <x:c r="B2" s="54"/>
      <x:c r="C2" s="54"/>
      <x:c r="D2" s="54"/>
      <x:c r="E2" s="54"/>
      <x:c r="F2" s="54"/>
      <x:c r="G2" s="54"/>
      <x:c r="H2" s="54"/>
      <x:c r="I2" s="54"/>
      <x:c r="J2" s="54"/>
      <x:c r="K2" s="54"/>
      <x:c r="L2" s="54"/>
    </x:row>
    <x:row r="3">
      <x:c r="A3" s="60" t="str">
        <x:v>Synthetic portfolio project | Forecasting • Scenario Analysis • Free Cash Flow</x:v>
      </x:c>
      <x:c r="B3" s="60"/>
      <x:c r="C3" s="60"/>
      <x:c r="D3" s="60"/>
      <x:c r="E3" s="60"/>
      <x:c r="F3" s="60"/>
      <x:c r="G3" s="60"/>
      <x:c r="H3" s="60"/>
      <x:c r="I3" s="60"/>
      <x:c r="J3" s="60"/>
      <x:c r="K3" s="60"/>
      <x:c r="L3" s="60"/>
    </x:row>
    <x:row r="4">
      <x:c r="A4" s="64" t="str">
        <x:v>2031 Revenue</x:v>
      </x:c>
      <x:c r="B4" s="64"/>
      <x:c r="C4" s="64"/>
      <x:c r="D4" s="64" t="str">
        <x:v>2031 EBITDA</x:v>
      </x:c>
      <x:c r="E4" s="64"/>
      <x:c r="F4" s="64"/>
      <x:c r="G4" s="64" t="str">
        <x:v>EBITDA Margin</x:v>
      </x:c>
      <x:c r="H4" s="64"/>
      <x:c r="I4" s="64"/>
      <x:c r="J4" s="64" t="str">
        <x:v>2031 Free Cash Flow</x:v>
      </x:c>
      <x:c r="K4" s="64"/>
      <x:c r="L4" s="64"/>
    </x:row>
    <x:row r="5">
      <x:c r="A5" s="122" t="n">
        <x:f>'5-Year Model'!F4</x:f>
        <x:v>36733201.92000001</x:v>
      </x:c>
      <x:c r="B5" s="86"/>
      <x:c r="C5" s="87"/>
      <x:c r="D5" s="122" t="n">
        <x:f>'5-Year Model'!F10</x:f>
        <x:v>7346640.3840000015</x:v>
      </x:c>
      <x:c r="E5" s="86"/>
      <x:c r="F5" s="87"/>
      <x:c r="G5" s="124" t="n">
        <x:f>'5-Year Model'!F11</x:f>
        <x:v>0.19999999999999998</x:v>
      </x:c>
      <x:c r="H5" s="86"/>
      <x:c r="I5" s="87"/>
      <x:c r="J5" s="122" t="n">
        <x:f>'Cash Flow'!F9</x:f>
        <x:v>5154552.547200001</x:v>
      </x:c>
      <x:c r="K5" s="86"/>
      <x:c r="L5" s="87"/>
    </x:row>
    <x:row r="6">
      <x:c r="A6" s="88"/>
      <x:c r="B6" s="89"/>
      <x:c r="C6" s="90"/>
      <x:c r="D6" s="88"/>
      <x:c r="E6" s="89"/>
      <x:c r="F6" s="90"/>
      <x:c r="G6" s="88"/>
      <x:c r="H6" s="89"/>
      <x:c r="I6" s="90"/>
      <x:c r="J6" s="88"/>
      <x:c r="K6" s="89"/>
      <x:c r="L6" s="90"/>
    </x:row>
    <x:row r="7">
      <x:c r="A7" s="91"/>
      <x:c r="B7" s="92"/>
      <x:c r="C7" s="93"/>
      <x:c r="D7" s="91"/>
      <x:c r="E7" s="92"/>
      <x:c r="F7" s="93"/>
      <x:c r="G7" s="91"/>
      <x:c r="H7" s="92"/>
      <x:c r="I7" s="93"/>
      <x:c r="J7" s="91"/>
      <x:c r="K7" s="92"/>
      <x:c r="L7" s="93"/>
    </x:row>
    <x:row r="10">
      <x:c r="A10" s="13" t="str">
        <x:v>Year</x:v>
      </x:c>
      <x:c r="B10" s="13" t="str">
        <x:v>Revenue</x:v>
      </x:c>
      <x:c r="C10" s="13" t="str">
        <x:v>EBITDA</x:v>
      </x:c>
      <x:c r="D10" s="13" t="str">
        <x:v>Net Income</x:v>
      </x:c>
    </x:row>
    <x:row r="11">
      <x:c r="A11" t="n">
        <x:v>2027</x:v>
      </x:c>
      <x:c r="B11" s="38" t="n">
        <x:f>'5-Year Model'!B4</x:f>
        <x:v>27000000</x:v>
      </x:c>
      <x:c r="C11" s="38" t="n">
        <x:f>'5-Year Model'!B10</x:f>
        <x:v>5399999.999999998</x:v>
      </x:c>
      <x:c r="D11" s="38" t="n">
        <x:f>'5-Year Model'!B15</x:f>
        <x:v>3543749.9999999986</x:v>
      </x:c>
    </x:row>
    <x:row r="12">
      <x:c r="A12" t="n">
        <x:v>2028</x:v>
      </x:c>
      <x:c r="B12" s="38" t="n">
        <x:f>'5-Year Model'!C4</x:f>
        <x:v>29160000.000000004</x:v>
      </x:c>
      <x:c r="C12" s="38" t="n">
        <x:f>'5-Year Model'!C10</x:f>
        <x:v>5831999.999999999</x:v>
      </x:c>
      <x:c r="D12" s="38" t="n">
        <x:f>'5-Year Model'!C15</x:f>
        <x:v>3827249.999999999</x:v>
      </x:c>
    </x:row>
    <x:row r="13">
      <x:c r="A13" t="n">
        <x:v>2029</x:v>
      </x:c>
      <x:c r="B13" s="38" t="n">
        <x:f>'5-Year Model'!D4</x:f>
        <x:v>31492800.000000007</x:v>
      </x:c>
      <x:c r="C13" s="38" t="n">
        <x:f>'5-Year Model'!D10</x:f>
        <x:v>6298559.999999998</x:v>
      </x:c>
      <x:c r="D13" s="38" t="n">
        <x:f>'5-Year Model'!D15</x:f>
        <x:v>4133429.9999999986</x:v>
      </x:c>
    </x:row>
    <x:row r="14">
      <x:c r="A14" t="n">
        <x:v>2030</x:v>
      </x:c>
      <x:c r="B14" s="38" t="n">
        <x:f>'5-Year Model'!E4</x:f>
        <x:v>34012224.00000001</x:v>
      </x:c>
      <x:c r="C14" s="38" t="n">
        <x:f>'5-Year Model'!E10</x:f>
        <x:v>6802444.800000001</x:v>
      </x:c>
      <x:c r="D14" s="38" t="n">
        <x:f>'5-Year Model'!E15</x:f>
        <x:v>4464104.4</x:v>
      </x:c>
    </x:row>
    <x:row r="15">
      <x:c r="A15" t="n">
        <x:v>2031</x:v>
      </x:c>
      <x:c r="B15" s="38" t="n">
        <x:f>'5-Year Model'!F4</x:f>
        <x:v>36733201.92000001</x:v>
      </x:c>
      <x:c r="C15" s="38" t="n">
        <x:f>'5-Year Model'!F10</x:f>
        <x:v>7346640.3840000015</x:v>
      </x:c>
      <x:c r="D15" s="38" t="n">
        <x:f>'5-Year Model'!F15</x:f>
        <x:v>4821232.752</x:v>
      </x:c>
    </x:row>
    <x:row r="19">
      <x:c r="A19" s="13" t="str">
        <x:v>Scenario</x:v>
      </x:c>
      <x:c r="B19" s="13" t="str">
        <x:v>2031 Revenue</x:v>
      </x:c>
      <x:c r="C19" s="13" t="str">
        <x:v>2031 EBITDA</x:v>
      </x:c>
      <x:c r="D19" s="13" t="str">
        <x:v>Net Income</x:v>
      </x:c>
    </x:row>
    <x:row r="20">
      <x:c r="A20" s="36" t="str">
        <x:f>'Scenario Analysis'!A4</x:f>
        <x:v>Base</x:v>
      </x:c>
      <x:c r="B20" s="38" t="n">
        <x:f>'Scenario Analysis'!B4</x:f>
        <x:v>36733201.92000001</x:v>
      </x:c>
      <x:c r="C20" s="38" t="n">
        <x:f>'Scenario Analysis'!C4</x:f>
        <x:v>7346640.384000001</x:v>
      </x:c>
      <x:c r="D20" s="38" t="n">
        <x:f>'Scenario Analysis'!E4</x:f>
        <x:v>4821232.752</x:v>
      </x:c>
    </x:row>
    <x:row r="21">
      <x:c r="A21" s="36" t="str">
        <x:f>'Scenario Analysis'!A5</x:f>
        <x:v>Bull</x:v>
      </x:c>
      <x:c r="B21" s="38" t="n">
        <x:f>'Scenario Analysis'!B5</x:f>
        <x:v>44058542.08000001</x:v>
      </x:c>
      <x:c r="C21" s="38" t="n">
        <x:f>'Scenario Analysis'!C5</x:f>
        <x:v>10353757.3888</x:v>
      </x:c>
      <x:c r="D21" s="38" t="n">
        <x:f>'Scenario Analysis'!E5</x:f>
        <x:v>7005308.190719999</x:v>
      </x:c>
    </x:row>
    <x:row r="22">
      <x:c r="A22" s="36" t="str">
        <x:f>'Scenario Analysis'!A6</x:f>
        <x:v>Bear</x:v>
      </x:c>
      <x:c r="B22" s="38" t="n">
        <x:f>'Scenario Analysis'!B6</x:f>
        <x:v>30416322.56000001</x:v>
      </x:c>
      <x:c r="C22" s="38" t="n">
        <x:f>'Scenario Analysis'!C6</x:f>
        <x:v>4410366.771200002</x:v>
      </x:c>
      <x:c r="D22" s="38" t="n">
        <x:f>'Scenario Analysis'!E6</x:f>
        <x:v>2691844.5465600016</x:v>
      </x:c>
    </x:row>
    <x:row r="25">
      <x:c r="A25" s="31" t="str">
        <x:v>Portfolio Interpretation</x:v>
      </x:c>
      <x:c r="B25" s="31"/>
      <x:c r="C25" s="31"/>
      <x:c r="D25" s="31"/>
    </x:row>
    <x:row r="26">
      <x:c r="A26" s="127" t="str">
        <x:v>The model converts operating assumptions into a five-year forecast and compares Base, Bull, and Bear outcomes. It demonstrates revenue forecasting, margin analysis, scenario planning, profitability modeling, and free cash flow analysis.</x:v>
      </x:c>
      <x:c r="B26" s="127"/>
      <x:c r="C26" s="127"/>
      <x:c r="D26" s="127"/>
    </x:row>
    <x:row r="27">
      <x:c r="A27" s="127"/>
      <x:c r="B27" s="127"/>
      <x:c r="C27" s="127"/>
      <x:c r="D27" s="127"/>
    </x:row>
    <x:row r="28">
      <x:c r="A28" s="127"/>
      <x:c r="B28" s="127"/>
      <x:c r="C28" s="127"/>
      <x:c r="D28" s="127"/>
    </x:row>
    <x:row r="29">
      <x:c r="A29" s="127"/>
      <x:c r="B29" s="127"/>
      <x:c r="C29" s="127"/>
      <x:c r="D29" s="127"/>
    </x:row>
    <x:row r="30">
      <x:c r="A30" s="127"/>
      <x:c r="B30" s="127"/>
      <x:c r="C30" s="127"/>
      <x:c r="D30" s="127"/>
    </x:row>
    <x:row r="31">
      <x:c r="A31" s="127"/>
      <x:c r="B31" s="127"/>
      <x:c r="C31" s="127"/>
      <x:c r="D31" s="127"/>
    </x:row>
  </x:sheetData>
  <x:mergeCells>
    <x:mergeCell ref="A1:L2"/>
    <x:mergeCell ref="A3:L3"/>
    <x:mergeCell ref="A4:C4"/>
    <x:mergeCell ref="D4:F4"/>
    <x:mergeCell ref="G4:I4"/>
    <x:mergeCell ref="J4:L4"/>
    <x:mergeCell ref="A5:C7"/>
    <x:mergeCell ref="D5:F7"/>
    <x:mergeCell ref="G5:I7"/>
    <x:mergeCell ref="J5:L7"/>
    <x:mergeCell ref="A25:D25"/>
    <x:mergeCell ref="A26:D31"/>
  </x:mergeCells>
  <x:pageMargins left="0.7" right="0.7" top="0.75" bottom="0.75" header="0.3" footer="0.3"/>
  <x:drawing xmlns:r="http://schemas.openxmlformats.org/officeDocument/2006/relationships" r:id="R685cf189f65e49ca"/>
</x:worksheet>
</file>