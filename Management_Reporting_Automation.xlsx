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bee256ad6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a7c7471eb2644fa8"/>
    <x:sheet xmlns:r="http://schemas.openxmlformats.org/officeDocument/2006/relationships" name="Monthly Data" sheetId="2" r:id="Rec9a88bc79d34777"/>
    <x:sheet xmlns:r="http://schemas.openxmlformats.org/officeDocument/2006/relationships" name="Variance Engine" sheetId="3" r:id="R71d5b13da58043a2"/>
    <x:sheet xmlns:r="http://schemas.openxmlformats.org/officeDocument/2006/relationships" name="Exception Flags" sheetId="4" r:id="Rbc0bad5512564ecc"/>
    <x:sheet xmlns:r="http://schemas.openxmlformats.org/officeDocument/2006/relationships" name="Management Commentary" sheetId="5" r:id="Rb7241f4427154f82"/>
    <x:sheet xmlns:r="http://schemas.openxmlformats.org/officeDocument/2006/relationships" name="Dashboard" sheetId="6" r:id="Rd06ce37c475e4c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[Red]($#,##0);-"/>
    <x:numFmt numFmtId="201" formatCode="0.0%;[Red](0.0%);-"/>
    <x:numFmt numFmtId="202" formatCode="mmm-yy"/>
    <x:numFmt numFmtId="203" formatCode="0"/>
    <x:numFmt numFmtId="204" formatCode="mmm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20"/>
      <x:color rgb="FFFFFFFF"/>
      <x:name val="Carlito"/>
    </x:font>
    <x:font>
      <x:i/>
      <x:sz val="11"/>
      <x:color rgb="FF555555"/>
      <x:name val="Carlito"/>
    </x:font>
    <x:font>
      <x:b/>
      <x:sz val="16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</x:fills>
  <x:borders count="18">
    <x:border/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1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1" xfId="0" applyNumberFormat="1" applyFont="1" applyFill="1" applyBorder="1"/>
    <x:xf numFmtId="201" fontId="6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2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2" xfId="0" applyNumberFormat="1" applyFont="1" applyFill="1" applyBorder="1"/>
    <x:xf numFmtId="0" fontId="9" fillId="6" borderId="3" xfId="0" applyNumberFormat="1" applyFont="1" applyFill="1" applyBorder="1"/>
    <x:xf numFmtId="0" fontId="9" fillId="6" borderId="4" xfId="0" applyNumberFormat="1" applyFont="1" applyFill="1" applyBorder="1"/>
    <x:xf numFmtId="0" fontId="9" fillId="6" borderId="5" xfId="0" applyNumberFormat="1" applyFont="1" applyFill="1" applyBorder="1"/>
    <x:xf numFmtId="0" fontId="9" fillId="6" borderId="6" xfId="0" applyNumberFormat="1" applyFont="1" applyFill="1" applyBorder="1"/>
    <x:xf numFmtId="0" fontId="9" fillId="6" borderId="7" xfId="0" applyNumberFormat="1" applyFont="1" applyFill="1" applyBorder="1"/>
    <x:xf numFmtId="0" fontId="9" fillId="6" borderId="8" xfId="0" applyNumberFormat="1" applyFont="1" applyFill="1" applyBorder="1"/>
    <x:xf numFmtId="0" fontId="9" fillId="6" borderId="9" xfId="0" applyNumberFormat="1" applyFont="1" applyFill="1" applyBorder="1"/>
    <x:xf numFmtId="0" fontId="9" fillId="6" borderId="2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/>
    </x:xf>
    <x:xf numFmtId="0" fontId="9" fillId="6" borderId="4" xfId="0" applyNumberFormat="1" applyFont="1" applyFill="1" applyBorder="1" applyAlignment="1">
      <x:alignment horizontal="center"/>
    </x:xf>
    <x:xf numFmtId="0" fontId="9" fillId="6" borderId="5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/>
    </x:xf>
    <x:xf numFmtId="0" fontId="9" fillId="6" borderId="6" xfId="0" applyNumberFormat="1" applyFont="1" applyFill="1" applyBorder="1" applyAlignment="1">
      <x:alignment horizontal="center"/>
    </x:xf>
    <x:xf numFmtId="0" fontId="9" fillId="6" borderId="7" xfId="0" applyNumberFormat="1" applyFont="1" applyFill="1" applyBorder="1" applyAlignment="1">
      <x:alignment horizontal="center"/>
    </x:xf>
    <x:xf numFmtId="0" fontId="9" fillId="6" borderId="8" xfId="0" applyNumberFormat="1" applyFont="1" applyFill="1" applyBorder="1" applyAlignment="1">
      <x:alignment horizontal="center"/>
    </x:xf>
    <x:xf numFmtId="0" fontId="9" fillId="6" borderId="9" xfId="0" applyNumberFormat="1" applyFont="1" applyFill="1" applyBorder="1" applyAlignment="1">
      <x:alignment horizontal="center"/>
    </x:xf>
    <x:xf numFmtId="0" fontId="9" fillId="6" borderId="2" xfId="0" applyNumberFormat="1" applyFont="1" applyFill="1" applyBorder="1" applyAlignment="1">
      <x:alignment horizontal="center" vertic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9" fillId="6" borderId="4" xfId="0" applyNumberFormat="1" applyFont="1" applyFill="1" applyBorder="1" applyAlignment="1">
      <x:alignment horizontal="center" vertical="center"/>
    </x:xf>
    <x:xf numFmtId="0" fontId="9" fillId="6" borderId="5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borderId="6" xfId="0" applyNumberFormat="1" applyFont="1" applyFill="1" applyBorder="1" applyAlignment="1">
      <x:alignment horizontal="center" vertical="center"/>
    </x:xf>
    <x:xf numFmtId="0" fontId="9" fillId="6" borderId="7" xfId="0" applyNumberFormat="1" applyFont="1" applyFill="1" applyBorder="1" applyAlignment="1">
      <x:alignment horizontal="center" vertical="center"/>
    </x:xf>
    <x:xf numFmtId="0" fontId="9" fillId="6" borderId="8" xfId="0" applyNumberFormat="1" applyFont="1" applyFill="1" applyBorder="1" applyAlignment="1">
      <x:alignment horizontal="center" vertical="center"/>
    </x:xf>
    <x:xf numFmtId="0" fontId="9" fillId="6" borderId="9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9" fillId="6" borderId="14" xfId="0" applyNumberFormat="1" applyFont="1" applyFill="1" applyBorder="1"/>
    <x:xf numFmtId="0" fontId="9" fillId="6" borderId="15" xfId="0" applyNumberFormat="1" applyFont="1" applyFill="1" applyBorder="1"/>
    <x:xf numFmtId="0" fontId="9" fillId="6" borderId="16" xfId="0" applyNumberFormat="1" applyFont="1" applyFill="1" applyBorder="1"/>
    <x:xf numFmtId="0" fontId="9" fillId="6" borderId="17" xfId="0" applyNumberFormat="1" applyFont="1" applyFill="1" applyBorder="1"/>
    <x:xf numFmtId="0" fontId="9" fillId="6" borderId="10" xfId="0" applyNumberFormat="1" applyFont="1" applyFill="1" applyBorder="1" applyAlignment="1">
      <x:alignment horizontal="center"/>
    </x:xf>
    <x:xf numFmtId="0" fontId="9" fillId="6" borderId="11" xfId="0" applyNumberFormat="1" applyFont="1" applyFill="1" applyBorder="1" applyAlignment="1">
      <x:alignment horizontal="center"/>
    </x:xf>
    <x:xf numFmtId="0" fontId="9" fillId="6" borderId="12" xfId="0" applyNumberFormat="1" applyFont="1" applyFill="1" applyBorder="1" applyAlignment="1">
      <x:alignment horizontal="center"/>
    </x:xf>
    <x:xf numFmtId="0" fontId="9" fillId="6" borderId="13" xfId="0" applyNumberFormat="1" applyFont="1" applyFill="1" applyBorder="1" applyAlignment="1">
      <x:alignment horizontal="center"/>
    </x:xf>
    <x:xf numFmtId="0" fontId="9" fillId="6" borderId="1" xfId="0" applyNumberFormat="1" applyFont="1" applyFill="1" applyBorder="1" applyAlignment="1">
      <x:alignment horizontal="center"/>
    </x:xf>
    <x:xf numFmtId="0" fontId="9" fillId="6" borderId="14" xfId="0" applyNumberFormat="1" applyFont="1" applyFill="1" applyBorder="1" applyAlignment="1">
      <x:alignment horizontal="center"/>
    </x:xf>
    <x:xf numFmtId="0" fontId="9" fillId="6" borderId="15" xfId="0" applyNumberFormat="1" applyFont="1" applyFill="1" applyBorder="1" applyAlignment="1">
      <x:alignment horizontal="center"/>
    </x:xf>
    <x:xf numFmtId="0" fontId="9" fillId="6" borderId="16" xfId="0" applyNumberFormat="1" applyFont="1" applyFill="1" applyBorder="1" applyAlignment="1">
      <x:alignment horizontal="center"/>
    </x:xf>
    <x:xf numFmtId="0" fontId="9" fillId="6" borderId="17" xfId="0" applyNumberFormat="1" applyFont="1" applyFill="1" applyBorder="1" applyAlignment="1">
      <x:alignment horizontal="center"/>
    </x:xf>
    <x:xf numFmtId="0" fontId="9" fillId="6" borderId="10" xfId="0" applyNumberFormat="1" applyFont="1" applyFill="1" applyBorder="1" applyAlignment="1">
      <x:alignment horizontal="center" vertical="center"/>
    </x:xf>
    <x:xf numFmtId="0" fontId="9" fillId="6" borderId="11" xfId="0" applyNumberFormat="1" applyFont="1" applyFill="1" applyBorder="1" applyAlignment="1">
      <x:alignment horizontal="center" vertical="center"/>
    </x:xf>
    <x:xf numFmtId="0" fontId="9" fillId="6" borderId="12" xfId="0" applyNumberFormat="1" applyFont="1" applyFill="1" applyBorder="1" applyAlignment="1">
      <x:alignment horizontal="center" vertical="center"/>
    </x:xf>
    <x:xf numFmtId="0" fontId="9" fillId="6" borderId="13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 applyAlignment="1">
      <x:alignment horizontal="center" vertical="center"/>
    </x:xf>
    <x:xf numFmtId="0" fontId="9" fillId="6" borderId="14" xfId="0" applyNumberFormat="1" applyFont="1" applyFill="1" applyBorder="1" applyAlignment="1">
      <x:alignment horizontal="center" vertical="center"/>
    </x:xf>
    <x:xf numFmtId="0" fontId="9" fillId="6" borderId="15" xfId="0" applyNumberFormat="1" applyFont="1" applyFill="1" applyBorder="1" applyAlignment="1">
      <x:alignment horizontal="center" vertical="center"/>
    </x:xf>
    <x:xf numFmtId="0" fontId="9" fillId="6" borderId="16" xfId="0" applyNumberFormat="1" applyFont="1" applyFill="1" applyBorder="1" applyAlignment="1">
      <x:alignment horizontal="center" vertical="center"/>
    </x:xf>
    <x:xf numFmtId="0" fontId="9" fillId="6" borderId="17" xfId="0" applyNumberFormat="1" applyFont="1" applyFill="1" applyBorder="1" applyAlignment="1">
      <x:alignment horizontal="center" vertical="center"/>
    </x:xf>
    <x:xf numFmtId="200" fontId="9" fillId="6" borderId="2" xfId="0" applyNumberFormat="1" applyFont="1" applyFill="1" applyBorder="1" applyAlignment="1">
      <x:alignment horizontal="center" vertical="center"/>
    </x:xf>
    <x:xf numFmtId="200" fontId="9" fillId="6" borderId="10" xfId="0" applyNumberFormat="1" applyFont="1" applyFill="1" applyBorder="1" applyAlignment="1">
      <x:alignment horizontal="center" vertical="center"/>
    </x:xf>
    <x:xf numFmtId="201" fontId="9" fillId="6" borderId="2" xfId="0" applyNumberFormat="1" applyFont="1" applyFill="1" applyBorder="1" applyAlignment="1">
      <x:alignment horizontal="center" vertical="center"/>
    </x:xf>
    <x:xf numFmtId="201" fontId="9" fillId="6" borderId="10" xfId="0" applyNumberFormat="1" applyFont="1" applyFill="1" applyBorder="1" applyAlignment="1">
      <x:alignment horizontal="center" vertical="center"/>
    </x:xf>
    <x:xf numFmtId="203" fontId="9" fillId="6" borderId="2" xfId="0" applyNumberFormat="1" applyFont="1" applyFill="1" applyBorder="1" applyAlignment="1">
      <x:alignment horizontal="center" vertical="center"/>
    </x:xf>
    <x:xf numFmtId="203" fontId="9" fillId="6" borderId="1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faa12f1164a7b" /><Relationship Type="http://schemas.openxmlformats.org/officeDocument/2006/relationships/theme" Target="/xl/theme/theme1.xml" Id="R5bc2b058a89840e8" /><Relationship Type="http://schemas.openxmlformats.org/officeDocument/2006/relationships/sharedStrings" Target="/xl/sharedStrings.xml" Id="R30364be1442a41e0" /><Relationship Type="http://schemas.openxmlformats.org/officeDocument/2006/relationships/worksheet" Target="/xl/worksheets/sheet1.xml" Id="Ra7c7471eb2644fa8" /><Relationship Type="http://schemas.openxmlformats.org/officeDocument/2006/relationships/worksheet" Target="/xl/worksheets/sheet2.xml" Id="Rec9a88bc79d34777" /><Relationship Type="http://schemas.openxmlformats.org/officeDocument/2006/relationships/worksheet" Target="/xl/worksheets/sheet3.xml" Id="R71d5b13da58043a2" /><Relationship Type="http://schemas.openxmlformats.org/officeDocument/2006/relationships/worksheet" Target="/xl/worksheets/sheet4.xml" Id="Rbc0bad5512564ecc" /><Relationship Type="http://schemas.openxmlformats.org/officeDocument/2006/relationships/worksheet" Target="/xl/worksheets/sheet5.xml" Id="Rb7241f4427154f82" /><Relationship Type="http://schemas.openxmlformats.org/officeDocument/2006/relationships/worksheet" Target="/xl/worksheets/sheet6.xml" Id="Rd06ce37c475e4c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f38b2ffe9f41f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&amp; EBITDA Variance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Revenue Var %</c:v>
          </c:tx>
          <c:marker>
            <c:symbol val="none"/>
          </c:marker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'Dashboard'!$B$11:$B$22</c:f>
              <c:numCache>
                <c:formatCode>0.0%;[Red](0.0%);-</c:formatCode>
                <c:ptCount val="0"/>
              </c:numCache>
            </c:numRef>
          </c:val>
        </c:ser>
        <c:ser>
          <c:idx val="1"/>
          <c:order val="1"/>
          <c:tx>
            <c:v>EBITDA Var %</c:v>
          </c:tx>
          <c:marker>
            <c:symbol val="none"/>
          </c:marker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'Dashboard'!$C$11:$C$22</c:f>
              <c:numCache>
                <c:formatCode>0.0%;[Red](0.0%);-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f38b2ffe9f41f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FinanceData" displayName="MonthlyFinanceData" ref="A3:K15" headerRowCount="1" totalsRowCount="0" totalsRowShown="0">
  <x:tableColumns count="11">
    <x:tableColumn id="1" name="Month"/>
    <x:tableColumn id="2" name="Budget Revenue"/>
    <x:tableColumn id="3" name="Actual Revenue"/>
    <x:tableColumn id="4" name="Budget COGS"/>
    <x:tableColumn id="5" name="Actual COGS"/>
    <x:tableColumn id="6" name="Budget OpEx"/>
    <x:tableColumn id="7" name="Actual OpEx"/>
    <x:tableColumn id="8" name="Budget EBITDA"/>
    <x:tableColumn id="9" name="Actual EBITDA"/>
    <x:tableColumn id="10" name="Revenue Var %"/>
    <x:tableColumn id="11" name="EBITDA Var %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eptionQueue" displayName="ExceptionQueue" ref="A3:G15" headerRowCount="1" totalsRowCount="0" totalsRowShown="0">
  <x:tableColumns count="7">
    <x:tableColumn id="1" name="Month"/>
    <x:tableColumn id="2" name="Revenue Var %"/>
    <x:tableColumn id="3" name="EBITDA Var %"/>
    <x:tableColumn id="4" name="Revenue Alert"/>
    <x:tableColumn id="5" name="EBITDA Alert"/>
    <x:tableColumn id="6" name="Priority"/>
    <x:tableColumn id="7" name="Review 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mentaryTable" displayName="CommentaryTable" ref="A3:F15" headerRowCount="1" totalsRowCount="0" totalsRowShown="0">
  <x:tableColumns count="6">
    <x:tableColumn id="1" name="Month"/>
    <x:tableColumn id="2" name="Revenue Commentary"/>
    <x:tableColumn id="3" name="EBITDA Commentary"/>
    <x:tableColumn id="4" name="Priority"/>
    <x:tableColumn id="5" name="Suggested Management Focus"/>
    <x:tableColumn id="6" name="AI Prompt Inp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c428228ee541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73b9ba5ccbb45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de88370de6c45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817d33be52844386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4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" t="str">
        <x:v>Management Reporting Automation – Assumptions</x:v>
      </x:c>
      <x:c r="B1" s="5"/>
      <x:c r="C1" s="5"/>
      <x:c r="D1" s="5"/>
      <x:c r="F1" s="5" t="str">
        <x:v>Monthly Actual Drivers</x:v>
      </x:c>
      <x:c r="G1" s="5"/>
      <x:c r="H1" s="5"/>
      <x:c r="I1" s="5"/>
    </x:row>
    <x:row r="3">
      <x:c r="A3" s="14" t="str">
        <x:v>Driver</x:v>
      </x:c>
      <x:c r="B3" s="14" t="str">
        <x:v>Value</x:v>
      </x:c>
      <x:c r="C3" s="14" t="str">
        <x:v>Unit</x:v>
      </x:c>
      <x:c r="D3" s="14" t="str">
        <x:v>Purpose</x:v>
      </x:c>
      <x:c r="F3" s="14" t="str">
        <x:v>Month</x:v>
      </x:c>
      <x:c r="G3" s="14" t="str">
        <x:v>Revenue Factor</x:v>
      </x:c>
      <x:c r="H3" s="14" t="str">
        <x:v>COGS Shift</x:v>
      </x:c>
      <x:c r="I3" s="14" t="str">
        <x:v>OpEx Shift</x:v>
      </x:c>
    </x:row>
    <x:row r="4">
      <x:c r="A4" t="str">
        <x:v>Starting Budget Revenue</x:v>
      </x:c>
      <x:c r="B4" s="28" t="n">
        <x:v>2000000</x:v>
      </x:c>
      <x:c r="C4" t="str">
        <x:v>$</x:v>
      </x:c>
      <x:c r="D4" t="str">
        <x:v>Monthly planning baseline</x:v>
      </x:c>
      <x:c r="F4" s="34" t="n">
        <x:v>46023</x:v>
      </x:c>
      <x:c r="G4" s="29" t="n">
        <x:v>0.97</x:v>
      </x:c>
      <x:c r="H4" s="29" t="n">
        <x:v>0.005</x:v>
      </x:c>
      <x:c r="I4" s="29" t="n">
        <x:v>0.004</x:v>
      </x:c>
    </x:row>
    <x:row r="5">
      <x:c r="A5" t="str">
        <x:v>Monthly Budget Growth</x:v>
      </x:c>
      <x:c r="B5" s="29" t="n">
        <x:v>0.015</x:v>
      </x:c>
      <x:c r="C5" t="str">
        <x:v>%</x:v>
      </x:c>
      <x:c r="D5" t="str">
        <x:v>Revenue planning growth</x:v>
      </x:c>
      <x:c r="F5" s="34" t="n">
        <x:v>46054</x:v>
      </x:c>
      <x:c r="G5" s="29" t="n">
        <x:v>1.01</x:v>
      </x:c>
      <x:c r="H5" s="29" t="n">
        <x:v>-0.004</x:v>
      </x:c>
      <x:c r="I5" s="29" t="n">
        <x:v>0.001</x:v>
      </x:c>
    </x:row>
    <x:row r="6">
      <x:c r="A6" t="str">
        <x:v>Budget COGS %</x:v>
      </x:c>
      <x:c r="B6" s="29" t="n">
        <x:v>0.56</x:v>
      </x:c>
      <x:c r="C6" t="str">
        <x:v>%</x:v>
      </x:c>
      <x:c r="D6" t="str">
        <x:v>Gross margin plan</x:v>
      </x:c>
      <x:c r="F6" s="34" t="n">
        <x:v>46082</x:v>
      </x:c>
      <x:c r="G6" s="29" t="n">
        <x:v>0.95</x:v>
      </x:c>
      <x:c r="H6" s="29" t="n">
        <x:v>0.01</x:v>
      </x:c>
      <x:c r="I6" s="29" t="n">
        <x:v>0.008</x:v>
      </x:c>
    </x:row>
    <x:row r="7">
      <x:c r="A7" t="str">
        <x:v>Budget OpEx %</x:v>
      </x:c>
      <x:c r="B7" s="29" t="n">
        <x:v>0.24</x:v>
      </x:c>
      <x:c r="C7" t="str">
        <x:v>%</x:v>
      </x:c>
      <x:c r="D7" t="str">
        <x:v>Operating expense plan</x:v>
      </x:c>
      <x:c r="F7" s="34" t="n">
        <x:v>46113</x:v>
      </x:c>
      <x:c r="G7" s="29" t="n">
        <x:v>1.03</x:v>
      </x:c>
      <x:c r="H7" s="29" t="n">
        <x:v>-0.006</x:v>
      </x:c>
      <x:c r="I7" s="29" t="n">
        <x:v>-0.003</x:v>
      </x:c>
    </x:row>
    <x:row r="8">
      <x:c r="A8" t="str">
        <x:v>Revenue Alert Threshold</x:v>
      </x:c>
      <x:c r="B8" s="29" t="n">
        <x:v>0.03</x:v>
      </x:c>
      <x:c r="C8" t="str">
        <x:v>%</x:v>
      </x:c>
      <x:c r="D8" t="str">
        <x:v>Flag absolute variance above threshold</x:v>
      </x:c>
      <x:c r="F8" s="34" t="n">
        <x:v>46143</x:v>
      </x:c>
      <x:c r="G8" s="29" t="n">
        <x:v>1</x:v>
      </x:c>
      <x:c r="H8" s="29" t="n">
        <x:v>0.002</x:v>
      </x:c>
      <x:c r="I8" s="29" t="n">
        <x:v>0.003</x:v>
      </x:c>
    </x:row>
    <x:row r="9">
      <x:c r="A9" t="str">
        <x:v>EBITDA Alert Threshold</x:v>
      </x:c>
      <x:c r="B9" s="29" t="n">
        <x:v>0.05</x:v>
      </x:c>
      <x:c r="C9" t="str">
        <x:v>%</x:v>
      </x:c>
      <x:c r="D9" t="str">
        <x:v>Flag absolute EBITDA variance above threshold</x:v>
      </x:c>
      <x:c r="F9" s="34" t="n">
        <x:v>46174</x:v>
      </x:c>
      <x:c r="G9" s="29" t="n">
        <x:v>0.98</x:v>
      </x:c>
      <x:c r="H9" s="29" t="n">
        <x:v>0.007</x:v>
      </x:c>
      <x:c r="I9" s="29" t="n">
        <x:v>0.005</x:v>
      </x:c>
    </x:row>
    <x:row r="10">
      <x:c r="A10" t="str">
        <x:v>Forecast Growth Rate</x:v>
      </x:c>
      <x:c r="B10" s="29" t="n">
        <x:v>0.02</x:v>
      </x:c>
      <x:c r="C10" t="str">
        <x:v>%</x:v>
      </x:c>
      <x:c r="D10" t="str">
        <x:v>Next-period forecast driver</x:v>
      </x:c>
      <x:c r="F10" s="34" t="n">
        <x:v>46204</x:v>
      </x:c>
      <x:c r="G10" s="29" t="n">
        <x:v>1.04</x:v>
      </x:c>
      <x:c r="H10" s="29" t="n">
        <x:v>-0.005</x:v>
      </x:c>
      <x:c r="I10" s="29" t="n">
        <x:v>-0.004</x:v>
      </x:c>
    </x:row>
    <x:row r="11">
      <x:c r="F11" s="34" t="n">
        <x:v>46235</x:v>
      </x:c>
      <x:c r="G11" s="29" t="n">
        <x:v>0.96</x:v>
      </x:c>
      <x:c r="H11" s="29" t="n">
        <x:v>0.011</x:v>
      </x:c>
      <x:c r="I11" s="29" t="n">
        <x:v>0.009</x:v>
      </x:c>
    </x:row>
    <x:row r="12">
      <x:c r="A12" s="32" t="str">
        <x:v>Portfolio Note</x:v>
      </x:c>
      <x:c r="B12" s="32" t="str"/>
      <x:c r="C12" s="32" t="str"/>
      <x:c r="D12" s="32" t="str"/>
      <x:c r="F12" s="34" t="n">
        <x:v>46266</x:v>
      </x:c>
      <x:c r="G12" s="29" t="n">
        <x:v>1.02</x:v>
      </x:c>
      <x:c r="H12" s="29" t="n">
        <x:v>-0.003</x:v>
      </x:c>
      <x:c r="I12" s="29" t="n">
        <x:v>-0.002</x:v>
      </x:c>
    </x:row>
    <x:row r="13">
      <x:c r="A13" t="str">
        <x:v>Data</x:v>
      </x:c>
      <x:c r="B13" t="str"/>
      <x:c r="C13" t="str"/>
      <x:c r="D13" t="str">
        <x:v>Illustrative case-study data; no employer or client data used.</x:v>
      </x:c>
      <x:c r="F13" s="34" t="n">
        <x:v>46296</x:v>
      </x:c>
      <x:c r="G13" s="29" t="n">
        <x:v>1.05</x:v>
      </x:c>
      <x:c r="H13" s="29" t="n">
        <x:v>-0.007</x:v>
      </x:c>
      <x:c r="I13" s="29" t="n">
        <x:v>-0.005</x:v>
      </x:c>
    </x:row>
    <x:row r="14">
      <x:c r="A14" t="str">
        <x:v>Reporting Workflow</x:v>
      </x:c>
      <x:c r="B14" t="str">
        <x:v>Formula engine → exception detection → structured commentary → analyst review</x:v>
      </x:c>
      <x:c r="C14" t="str"/>
      <x:c r="D14" t="str">
        <x:v>Designed for repeatable management reporting.</x:v>
      </x:c>
      <x:c r="F14" s="34" t="n">
        <x:v>46327</x:v>
      </x:c>
      <x:c r="G14" s="29" t="n">
        <x:v>0.99</x:v>
      </x:c>
      <x:c r="H14" s="29" t="n">
        <x:v>0.004</x:v>
      </x:c>
      <x:c r="I14" s="29" t="n">
        <x:v>0.003</x:v>
      </x:c>
    </x:row>
    <x:row r="15">
      <x:c r="F15" s="34" t="n">
        <x:v>46357</x:v>
      </x:c>
      <x:c r="G15" s="29" t="n">
        <x:v>1.03</x:v>
      </x:c>
      <x:c r="H15" s="29" t="n">
        <x:v>-0.006</x:v>
      </x:c>
      <x:c r="I15" s="29" t="n">
        <x:v>-0.004</x:v>
      </x:c>
    </x:row>
  </x:sheetData>
  <x:mergeCells>
    <x:mergeCell ref="A1:D1"/>
    <x:mergeCell ref="F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5" t="str">
        <x:v>Monthly Budget, Actual &amp; Forecast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4" t="str">
        <x:v>Month</x:v>
      </x:c>
      <x:c r="B3" s="14" t="str">
        <x:v>Budget Revenue</x:v>
      </x:c>
      <x:c r="C3" s="14" t="str">
        <x:v>Actual Revenue</x:v>
      </x:c>
      <x:c r="D3" s="14" t="str">
        <x:v>Budget COGS</x:v>
      </x:c>
      <x:c r="E3" s="14" t="str">
        <x:v>Actual COGS</x:v>
      </x:c>
      <x:c r="F3" s="14" t="str">
        <x:v>Budget OpEx</x:v>
      </x:c>
      <x:c r="G3" s="14" t="str">
        <x:v>Actual OpEx</x:v>
      </x:c>
      <x:c r="H3" s="14" t="str">
        <x:v>Budget EBITDA</x:v>
      </x:c>
      <x:c r="I3" s="14" t="str">
        <x:v>Actual EBITDA</x:v>
      </x:c>
      <x:c r="J3" s="14" t="str">
        <x:v>Revenue Var %</x:v>
      </x:c>
      <x:c r="K3" s="14" t="str">
        <x:v>EBITDA Var %</x:v>
      </x:c>
    </x:row>
    <x:row r="4">
      <x:c r="A4" s="36" t="n">
        <x:v>46023</x:v>
      </x:c>
      <x:c r="B4" s="42" t="n">
        <x:f>Assumptions!$B$4</x:f>
        <x:v>2000000</x:v>
      </x:c>
      <x:c r="C4" s="42" t="n">
        <x:f>B4*Assumptions!G4</x:f>
        <x:v>1940000</x:v>
      </x:c>
      <x:c r="D4" s="42" t="n">
        <x:f>B4*Assumptions!$B$6</x:f>
        <x:v>1120000</x:v>
      </x:c>
      <x:c r="E4" s="42" t="n">
        <x:f>C4*(Assumptions!$B$6+Assumptions!H4)</x:f>
        <x:v>1096100</x:v>
      </x:c>
      <x:c r="F4" s="42" t="n">
        <x:f>B4*Assumptions!$B$7</x:f>
        <x:v>480000</x:v>
      </x:c>
      <x:c r="G4" s="42" t="n">
        <x:f>C4*(Assumptions!$B$7+Assumptions!I4)</x:f>
        <x:v>473360</x:v>
      </x:c>
      <x:c r="H4" s="38" t="n">
        <x:f>B4-D4-F4</x:f>
        <x:v>400000</x:v>
      </x:c>
      <x:c r="I4" s="38" t="n">
        <x:f>C4-E4-G4</x:f>
        <x:v>370540</x:v>
      </x:c>
      <x:c r="J4" s="39" t="n">
        <x:f>IFERROR((C4-B4)/B4,0)</x:f>
        <x:v>-0.03</x:v>
      </x:c>
      <x:c r="K4" s="39" t="n">
        <x:f>IFERROR((I4-H4)/H4,0)</x:f>
        <x:v>-0.07365</x:v>
      </x:c>
    </x:row>
    <x:row r="5">
      <x:c r="A5" s="36" t="n">
        <x:v>46054</x:v>
      </x:c>
      <x:c r="B5" s="42" t="n">
        <x:f>B4*(1+Assumptions!$B$5)</x:f>
        <x:v>2029999.9999999998</x:v>
      </x:c>
      <x:c r="C5" s="42" t="n">
        <x:f>B5*Assumptions!G5</x:f>
        <x:v>2050299.9999999998</x:v>
      </x:c>
      <x:c r="D5" s="42" t="n">
        <x:f>B5*Assumptions!$B$6</x:f>
        <x:v>1136800</x:v>
      </x:c>
      <x:c r="E5" s="42" t="n">
        <x:f>C5*(Assumptions!$B$6+Assumptions!H5)</x:f>
        <x:v>1139966.8</x:v>
      </x:c>
      <x:c r="F5" s="42" t="n">
        <x:f>B5*Assumptions!$B$7</x:f>
        <x:v>487199.99999999994</x:v>
      </x:c>
      <x:c r="G5" s="42" t="n">
        <x:f>C5*(Assumptions!$B$7+Assumptions!I5)</x:f>
        <x:v>494122.29999999993</x:v>
      </x:c>
      <x:c r="H5" s="38" t="n">
        <x:f>B5-D5-F5</x:f>
        <x:v>405999.9999999998</x:v>
      </x:c>
      <x:c r="I5" s="38" t="n">
        <x:f>C5-E5-G5</x:f>
        <x:v>416210.8999999998</x:v>
      </x:c>
      <x:c r="J5" s="39" t="n">
        <x:f>IFERROR((C5-B5)/B5,0)</x:f>
        <x:v>0.010000000000000002</x:v>
      </x:c>
      <x:c r="K5" s="39" t="n">
        <x:f>IFERROR((I5-H5)/H5,0)</x:f>
        <x:v>0.025149999999999926</x:v>
      </x:c>
    </x:row>
    <x:row r="6">
      <x:c r="A6" s="36" t="n">
        <x:v>46082</x:v>
      </x:c>
      <x:c r="B6" s="42" t="n">
        <x:f>B5*(1+Assumptions!$B$5)</x:f>
        <x:v>2060449.9999999995</x:v>
      </x:c>
      <x:c r="C6" s="42" t="n">
        <x:f>B6*Assumptions!G6</x:f>
        <x:v>1957427.4999999995</x:v>
      </x:c>
      <x:c r="D6" s="42" t="n">
        <x:f>B6*Assumptions!$B$6</x:f>
        <x:v>1153851.9999999998</x:v>
      </x:c>
      <x:c r="E6" s="42" t="n">
        <x:f>C6*(Assumptions!$B$6+Assumptions!H6)</x:f>
        <x:v>1115733.6749999998</x:v>
      </x:c>
      <x:c r="F6" s="42" t="n">
        <x:f>B6*Assumptions!$B$7</x:f>
        <x:v>494507.9999999999</x:v>
      </x:c>
      <x:c r="G6" s="42" t="n">
        <x:f>C6*(Assumptions!$B$7+Assumptions!I6)</x:f>
        <x:v>485442.0199999999</x:v>
      </x:c>
      <x:c r="H6" s="38" t="n">
        <x:f>B6-D6-F6</x:f>
        <x:v>412089.9999999999</x:v>
      </x:c>
      <x:c r="I6" s="38" t="n">
        <x:f>C6-E6-G6</x:f>
        <x:v>356251.8049999998</x:v>
      </x:c>
      <x:c r="J6" s="39" t="n">
        <x:f>IFERROR((C6-B6)/B6,0)</x:f>
        <x:v>-0.05000000000000001</x:v>
      </x:c>
      <x:c r="K6" s="39" t="n">
        <x:f>IFERROR((I6-H6)/H6,0)</x:f>
        <x:v>-0.1355000000000002</x:v>
      </x:c>
    </x:row>
    <x:row r="7">
      <x:c r="A7" s="36" t="n">
        <x:v>46113</x:v>
      </x:c>
      <x:c r="B7" s="42" t="n">
        <x:f>B6*(1+Assumptions!$B$5)</x:f>
        <x:v>2091356.7499999993</x:v>
      </x:c>
      <x:c r="C7" s="42" t="n">
        <x:f>B7*Assumptions!G7</x:f>
        <x:v>2154097.452499999</x:v>
      </x:c>
      <x:c r="D7" s="42" t="n">
        <x:f>B7*Assumptions!$B$6</x:f>
        <x:v>1171159.7799999998</x:v>
      </x:c>
      <x:c r="E7" s="42" t="n">
        <x:f>C7*(Assumptions!$B$6+Assumptions!H7)</x:f>
        <x:v>1193369.9886849998</x:v>
      </x:c>
      <x:c r="F7" s="42" t="n">
        <x:f>B7*Assumptions!$B$7</x:f>
        <x:v>501925.6199999998</x:v>
      </x:c>
      <x:c r="G7" s="42" t="n">
        <x:f>C7*(Assumptions!$B$7+Assumptions!I7)</x:f>
        <x:v>510521.09624249977</x:v>
      </x:c>
      <x:c r="H7" s="38" t="n">
        <x:f>B7-D7-F7</x:f>
        <x:v>418271.3499999997</x:v>
      </x:c>
      <x:c r="I7" s="38" t="n">
        <x:f>C7-E7-G7</x:f>
        <x:v>450206.3675724997</x:v>
      </x:c>
      <x:c r="J7" s="39" t="n">
        <x:f>IFERROR((C7-B7)/B7,0)</x:f>
        <x:v>0.02999999999999996</x:v>
      </x:c>
      <x:c r="K7" s="39" t="n">
        <x:f>IFERROR((I7-H7)/H7,0)</x:f>
        <x:v>0.07635000000000003</x:v>
      </x:c>
    </x:row>
    <x:row r="8">
      <x:c r="A8" s="36" t="n">
        <x:v>46143</x:v>
      </x:c>
      <x:c r="B8" s="42" t="n">
        <x:f>B7*(1+Assumptions!$B$5)</x:f>
        <x:v>2122727.101249999</x:v>
      </x:c>
      <x:c r="C8" s="42" t="n">
        <x:f>B8*Assumptions!G8</x:f>
        <x:v>2122727.101249999</x:v>
      </x:c>
      <x:c r="D8" s="42" t="n">
        <x:f>B8*Assumptions!$B$6</x:f>
        <x:v>1188727.1766999995</x:v>
      </x:c>
      <x:c r="E8" s="42" t="n">
        <x:f>C8*(Assumptions!$B$6+Assumptions!H8)</x:f>
        <x:v>1192972.6309024994</x:v>
      </x:c>
      <x:c r="F8" s="42" t="n">
        <x:f>B8*Assumptions!$B$7</x:f>
        <x:v>509454.50429999974</x:v>
      </x:c>
      <x:c r="G8" s="42" t="n">
        <x:f>C8*(Assumptions!$B$7+Assumptions!I8)</x:f>
        <x:v>515822.6856037497</x:v>
      </x:c>
      <x:c r="H8" s="38" t="n">
        <x:f>B8-D8-F8</x:f>
        <x:v>424545.4202499997</x:v>
      </x:c>
      <x:c r="I8" s="38" t="n">
        <x:f>C8-E8-G8</x:f>
        <x:v>413931.78474374977</x:v>
      </x:c>
      <x:c r="J8" s="39" t="n">
        <x:f>IFERROR((C8-B8)/B8,0)</x:f>
        <x:v>0</x:v>
      </x:c>
      <x:c r="K8" s="39" t="n">
        <x:f>IFERROR((I8-H8)/H8,0)</x:f>
        <x:v>-0.024999999999999797</x:v>
      </x:c>
    </x:row>
    <x:row r="9">
      <x:c r="A9" s="36" t="n">
        <x:v>46174</x:v>
      </x:c>
      <x:c r="B9" s="42" t="n">
        <x:f>B8*(1+Assumptions!$B$5)</x:f>
        <x:v>2154568.007768749</x:v>
      </x:c>
      <x:c r="C9" s="42" t="n">
        <x:f>B9*Assumptions!G9</x:f>
        <x:v>2111476.6476133736</x:v>
      </x:c>
      <x:c r="D9" s="42" t="n">
        <x:f>B9*Assumptions!$B$6</x:f>
        <x:v>1206558.0843504993</x:v>
      </x:c>
      <x:c r="E9" s="42" t="n">
        <x:f>C9*(Assumptions!$B$6+Assumptions!H9)</x:f>
        <x:v>1197207.259196783</x:v>
      </x:c>
      <x:c r="F9" s="42" t="n">
        <x:f>B9*Assumptions!$B$7</x:f>
        <x:v>517096.3218644997</x:v>
      </x:c>
      <x:c r="G9" s="42" t="n">
        <x:f>C9*(Assumptions!$B$7+Assumptions!I9)</x:f>
        <x:v>517311.77866527654</x:v>
      </x:c>
      <x:c r="H9" s="38" t="n">
        <x:f>B9-D9-F9</x:f>
        <x:v>430913.60155374976</x:v>
      </x:c>
      <x:c r="I9" s="38" t="n">
        <x:f>C9-E9-G9</x:f>
        <x:v>396957.6097513141</x:v>
      </x:c>
      <x:c r="J9" s="39" t="n">
        <x:f>IFERROR((C9-B9)/B9,0)</x:f>
        <x:v>-0.020000000000000108</x:v>
      </x:c>
      <x:c r="K9" s="39" t="n">
        <x:f>IFERROR((I9-H9)/H9,0)</x:f>
        <x:v>-0.07880000000000041</x:v>
      </x:c>
    </x:row>
    <x:row r="10">
      <x:c r="A10" s="36" t="n">
        <x:v>46204</x:v>
      </x:c>
      <x:c r="B10" s="42" t="n">
        <x:f>B9*(1+Assumptions!$B$5)</x:f>
        <x:v>2186886.5278852796</x:v>
      </x:c>
      <x:c r="C10" s="42" t="n">
        <x:f>B10*Assumptions!G10</x:f>
        <x:v>2274361.989000691</x:v>
      </x:c>
      <x:c r="D10" s="42" t="n">
        <x:f>B10*Assumptions!$B$6</x:f>
        <x:v>1224656.4556157568</x:v>
      </x:c>
      <x:c r="E10" s="42" t="n">
        <x:f>C10*(Assumptions!$B$6+Assumptions!H10)</x:f>
        <x:v>1262270.9038953837</x:v>
      </x:c>
      <x:c r="F10" s="42" t="n">
        <x:f>B10*Assumptions!$B$7</x:f>
        <x:v>524852.766692467</x:v>
      </x:c>
      <x:c r="G10" s="42" t="n">
        <x:f>C10*(Assumptions!$B$7+Assumptions!I10)</x:f>
        <x:v>536749.429404163</x:v>
      </x:c>
      <x:c r="H10" s="38" t="n">
        <x:f>B10-D10-F10</x:f>
        <x:v>437377.3055770558</x:v>
      </x:c>
      <x:c r="I10" s="38" t="n">
        <x:f>C10-E10-G10</x:f>
        <x:v>475341.65570114437</x:v>
      </x:c>
      <x:c r="J10" s="39" t="n">
        <x:f>IFERROR((C10-B10)/B10,0)</x:f>
        <x:v>0.04000000000000014</x:v>
      </x:c>
      <x:c r="K10" s="39" t="n">
        <x:f>IFERROR((I10-H10)/H10,0)</x:f>
        <x:v>0.08680000000000032</x:v>
      </x:c>
    </x:row>
    <x:row r="11">
      <x:c r="A11" s="36" t="n">
        <x:v>46235</x:v>
      </x:c>
      <x:c r="B11" s="42" t="n">
        <x:f>B10*(1+Assumptions!$B$5)</x:f>
        <x:v>2219689.825803559</x:v>
      </x:c>
      <x:c r="C11" s="42" t="n">
        <x:f>B11*Assumptions!G11</x:f>
        <x:v>2130902.232771416</x:v>
      </x:c>
      <x:c r="D11" s="42" t="n">
        <x:f>B11*Assumptions!$B$6</x:f>
        <x:v>1243026.302449993</x:v>
      </x:c>
      <x:c r="E11" s="42" t="n">
        <x:f>C11*(Assumptions!$B$6+Assumptions!H11)</x:f>
        <x:v>1216745.1749124788</x:v>
      </x:c>
      <x:c r="F11" s="42" t="n">
        <x:f>B11*Assumptions!$B$7</x:f>
        <x:v>532725.558192854</x:v>
      </x:c>
      <x:c r="G11" s="42" t="n">
        <x:f>C11*(Assumptions!$B$7+Assumptions!I11)</x:f>
        <x:v>530594.6559600827</x:v>
      </x:c>
      <x:c r="H11" s="38" t="n">
        <x:f>B11-D11-F11</x:f>
        <x:v>443937.96516071167</x:v>
      </x:c>
      <x:c r="I11" s="38" t="n">
        <x:f>C11-E11-G11</x:f>
        <x:v>383562.40189885476</x:v>
      </x:c>
      <x:c r="J11" s="39" t="n">
        <x:f>IFERROR((C11-B11)/B11,0)</x:f>
        <x:v>-0.04000000000000012</x:v>
      </x:c>
      <x:c r="K11" s="39" t="n">
        <x:f>IFERROR((I11-H11)/H11,0)</x:f>
        <x:v>-0.13600000000000026</x:v>
      </x:c>
    </x:row>
    <x:row r="12">
      <x:c r="A12" s="36" t="n">
        <x:v>46266</x:v>
      </x:c>
      <x:c r="B12" s="42" t="n">
        <x:f>B11*(1+Assumptions!$B$5)</x:f>
        <x:v>2252985.173190612</x:v>
      </x:c>
      <x:c r="C12" s="42" t="n">
        <x:f>B12*Assumptions!G12</x:f>
        <x:v>2298044.8766544242</x:v>
      </x:c>
      <x:c r="D12" s="42" t="n">
        <x:f>B12*Assumptions!$B$6</x:f>
        <x:v>1261671.6969867428</x:v>
      </x:c>
      <x:c r="E12" s="42" t="n">
        <x:f>C12*(Assumptions!$B$6+Assumptions!H12)</x:f>
        <x:v>1280010.9962965145</x:v>
      </x:c>
      <x:c r="F12" s="42" t="n">
        <x:f>B12*Assumptions!$B$7</x:f>
        <x:v>540716.4415657468</x:v>
      </x:c>
      <x:c r="G12" s="42" t="n">
        <x:f>C12*(Assumptions!$B$7+Assumptions!I12)</x:f>
        <x:v>546934.6806437529</x:v>
      </x:c>
      <x:c r="H12" s="38" t="n">
        <x:f>B12-D12-F12</x:f>
        <x:v>450597.0346381223</x:v>
      </x:c>
      <x:c r="I12" s="38" t="n">
        <x:f>C12-E12-G12</x:f>
        <x:v>471099.1997141568</x:v>
      </x:c>
      <x:c r="J12" s="39" t="n">
        <x:f>IFERROR((C12-B12)/B12,0)</x:f>
        <x:v>0.020000000000000052</x:v>
      </x:c>
      <x:c r="K12" s="39" t="n">
        <x:f>IFERROR((I12-H12)/H12,0)</x:f>
        <x:v>0.04549999999999984</x:v>
      </x:c>
    </x:row>
    <x:row r="13">
      <x:c r="A13" s="36" t="n">
        <x:v>46296</x:v>
      </x:c>
      <x:c r="B13" s="42" t="n">
        <x:f>B12*(1+Assumptions!$B$5)</x:f>
        <x:v>2286779.950788471</x:v>
      </x:c>
      <x:c r="C13" s="42" t="n">
        <x:f>B13*Assumptions!G13</x:f>
        <x:v>2401118.948327895</x:v>
      </x:c>
      <x:c r="D13" s="42" t="n">
        <x:f>B13*Assumptions!$B$6</x:f>
        <x:v>1280596.7724415439</x:v>
      </x:c>
      <x:c r="E13" s="42" t="n">
        <x:f>C13*(Assumptions!$B$6+Assumptions!H13)</x:f>
        <x:v>1327818.7784253259</x:v>
      </x:c>
      <x:c r="F13" s="42" t="n">
        <x:f>B13*Assumptions!$B$7</x:f>
        <x:v>548827.188189233</x:v>
      </x:c>
      <x:c r="G13" s="42" t="n">
        <x:f>C13*(Assumptions!$B$7+Assumptions!I13)</x:f>
        <x:v>564262.9528570552</x:v>
      </x:c>
      <x:c r="H13" s="38" t="n">
        <x:f>B13-D13-F13</x:f>
        <x:v>457355.9901576941</x:v>
      </x:c>
      <x:c r="I13" s="38" t="n">
        <x:f>C13-E13-G13</x:f>
        <x:v>509037.2170455137</x:v>
      </x:c>
      <x:c r="J13" s="39" t="n">
        <x:f>IFERROR((C13-B13)/B13,0)</x:f>
        <x:v>0.05000000000000014</x:v>
      </x:c>
      <x:c r="K13" s="39" t="n">
        <x:f>IFERROR((I13-H13)/H13,0)</x:f>
        <x:v>0.11300000000000035</x:v>
      </x:c>
    </x:row>
    <x:row r="14">
      <x:c r="A14" s="36" t="n">
        <x:v>46327</x:v>
      </x:c>
      <x:c r="B14" s="42" t="n">
        <x:f>B13*(1+Assumptions!$B$5)</x:f>
        <x:v>2321081.650050298</x:v>
      </x:c>
      <x:c r="C14" s="42" t="n">
        <x:f>B14*Assumptions!G14</x:f>
        <x:v>2297870.8335497947</x:v>
      </x:c>
      <x:c r="D14" s="42" t="n">
        <x:f>B14*Assumptions!$B$6</x:f>
        <x:v>1299805.7240281668</x:v>
      </x:c>
      <x:c r="E14" s="42" t="n">
        <x:f>C14*(Assumptions!$B$6+Assumptions!H14)</x:f>
        <x:v>1295999.1501220844</x:v>
      </x:c>
      <x:c r="F14" s="42" t="n">
        <x:f>B14*Assumptions!$B$7</x:f>
        <x:v>557059.5960120715</x:v>
      </x:c>
      <x:c r="G14" s="42" t="n">
        <x:f>C14*(Assumptions!$B$7+Assumptions!I14)</x:f>
        <x:v>558382.6125526001</x:v>
      </x:c>
      <x:c r="H14" s="38" t="n">
        <x:f>B14-D14-F14</x:f>
        <x:v>464216.3300100595</x:v>
      </x:c>
      <x:c r="I14" s="38" t="n">
        <x:f>C14-E14-G14</x:f>
        <x:v>443489.0708751102</x:v>
      </x:c>
      <x:c r="J14" s="39" t="n">
        <x:f>IFERROR((C14-B14)/B14,0)</x:f>
        <x:v>-0.010000000000000054</x:v>
      </x:c>
      <x:c r="K14" s="39" t="n">
        <x:f>IFERROR((I14-H14)/H14,0)</x:f>
        <x:v>-0.04465000000000031</x:v>
      </x:c>
    </x:row>
    <x:row r="15">
      <x:c r="A15" s="36" t="n">
        <x:v>46357</x:v>
      </x:c>
      <x:c r="B15" s="42" t="n">
        <x:f>B14*(1+Assumptions!$B$5)</x:f>
        <x:v>2355897.8748010523</x:v>
      </x:c>
      <x:c r="C15" s="42" t="n">
        <x:f>B15*Assumptions!G15</x:f>
        <x:v>2426574.8110450837</x:v>
      </x:c>
      <x:c r="D15" s="42" t="n">
        <x:f>B15*Assumptions!$B$6</x:f>
        <x:v>1319302.8098885894</x:v>
      </x:c>
      <x:c r="E15" s="42" t="n">
        <x:f>C15*(Assumptions!$B$6+Assumptions!H15)</x:f>
        <x:v>1344322.4453189764</x:v>
      </x:c>
      <x:c r="F15" s="42" t="n">
        <x:f>B15*Assumptions!$B$7</x:f>
        <x:v>565415.4899522525</x:v>
      </x:c>
      <x:c r="G15" s="42" t="n">
        <x:f>C15*(Assumptions!$B$7+Assumptions!I15)</x:f>
        <x:v>572671.6554066397</x:v>
      </x:c>
      <x:c r="H15" s="38" t="n">
        <x:f>B15-D15-F15</x:f>
        <x:v>471179.57496021036</x:v>
      </x:c>
      <x:c r="I15" s="38" t="n">
        <x:f>C15-E15-G15</x:f>
        <x:v>509580.7103194676</x:v>
      </x:c>
      <x:c r="J15" s="39" t="n">
        <x:f>IFERROR((C15-B15)/B15,0)</x:f>
        <x:v>0.029999999999999936</x:v>
      </x:c>
      <x:c r="K15" s="39" t="n">
        <x:f>IFERROR((I15-H15)/H15,0)</x:f>
        <x:v>0.08150000000000017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fc428228ee541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5" t="str">
        <x:v>Automated Variance &amp; Forecast Engine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Month</x:v>
      </x:c>
      <x:c r="B3" s="14" t="str">
        <x:v>Revenue Var $</x:v>
      </x:c>
      <x:c r="C3" s="14" t="str">
        <x:v>Revenue Var %</x:v>
      </x:c>
      <x:c r="D3" s="14" t="str">
        <x:v>EBITDA Var $</x:v>
      </x:c>
      <x:c r="E3" s="14" t="str">
        <x:v>EBITDA Var %</x:v>
      </x:c>
      <x:c r="F3" s="14" t="str">
        <x:v>Next Month Revenue Forecast</x:v>
      </x:c>
      <x:c r="G3" s="14" t="str">
        <x:v>Revenue Signal</x:v>
      </x:c>
      <x:c r="H3" s="14" t="str">
        <x:v>EBITDA Signal</x:v>
      </x:c>
    </x:row>
    <x:row r="4">
      <x:c r="A4" s="44" t="n">
        <x:f>'Monthly Data'!A4</x:f>
        <x:v>46023</x:v>
      </x:c>
      <x:c r="B4" s="42" t="n">
        <x:f>'Monthly Data'!C4-'Monthly Data'!B4</x:f>
        <x:v>-60000</x:v>
      </x:c>
      <x:c r="C4" s="45" t="n">
        <x:f>'Monthly Data'!J4</x:f>
        <x:v>-0.03</x:v>
      </x:c>
      <x:c r="D4" s="42" t="n">
        <x:f>'Monthly Data'!I4-'Monthly Data'!H4</x:f>
        <x:v>-29460</x:v>
      </x:c>
      <x:c r="E4" s="45" t="n">
        <x:f>'Monthly Data'!K4</x:f>
        <x:v>-0.07365</x:v>
      </x:c>
      <x:c r="F4" s="42" t="n">
        <x:f>'Monthly Data'!C4*(1+Assumptions!$B$10)</x:f>
        <x:v>1978800</x:v>
      </x:c>
      <x:c r="G4" t="str">
        <x:f>IF(C4&gt;=0,"Above Plan","Below Plan")</x:f>
        <x:v>Below Plan</x:v>
      </x:c>
      <x:c r="H4" t="str">
        <x:f>IF(E4&gt;=0,"Above Plan","Below Plan")</x:f>
        <x:v>Below Plan</x:v>
      </x:c>
    </x:row>
    <x:row r="5">
      <x:c r="A5" s="44" t="n">
        <x:f>'Monthly Data'!A5</x:f>
        <x:v>46054</x:v>
      </x:c>
      <x:c r="B5" s="42" t="n">
        <x:f>'Monthly Data'!C5-'Monthly Data'!B5</x:f>
        <x:v>20300</x:v>
      </x:c>
      <x:c r="C5" s="45" t="n">
        <x:f>'Monthly Data'!J5</x:f>
        <x:v>0.010000000000000002</x:v>
      </x:c>
      <x:c r="D5" s="42" t="n">
        <x:f>'Monthly Data'!I5-'Monthly Data'!H5</x:f>
        <x:v>10210.899999999965</x:v>
      </x:c>
      <x:c r="E5" s="45" t="n">
        <x:f>'Monthly Data'!K5</x:f>
        <x:v>0.025149999999999926</x:v>
      </x:c>
      <x:c r="F5" s="42" t="n">
        <x:f>'Monthly Data'!C5*(1+Assumptions!$B$10)</x:f>
        <x:v>2091305.9999999998</x:v>
      </x:c>
      <x:c r="G5" t="str">
        <x:f>IF(C5&gt;=0,"Above Plan","Below Plan")</x:f>
        <x:v>Above Plan</x:v>
      </x:c>
      <x:c r="H5" t="str">
        <x:f>IF(E5&gt;=0,"Above Plan","Below Plan")</x:f>
        <x:v>Above Plan</x:v>
      </x:c>
    </x:row>
    <x:row r="6">
      <x:c r="A6" s="44" t="n">
        <x:f>'Monthly Data'!A6</x:f>
        <x:v>46082</x:v>
      </x:c>
      <x:c r="B6" s="42" t="n">
        <x:f>'Monthly Data'!C6-'Monthly Data'!B6</x:f>
        <x:v>-103022.5</x:v>
      </x:c>
      <x:c r="C6" s="45" t="n">
        <x:f>'Monthly Data'!J6</x:f>
        <x:v>-0.05000000000000001</x:v>
      </x:c>
      <x:c r="D6" s="42" t="n">
        <x:f>'Monthly Data'!I6-'Monthly Data'!H6</x:f>
        <x:v>-55838.195000000065</x:v>
      </x:c>
      <x:c r="E6" s="45" t="n">
        <x:f>'Monthly Data'!K6</x:f>
        <x:v>-0.1355000000000002</x:v>
      </x:c>
      <x:c r="F6" s="42" t="n">
        <x:f>'Monthly Data'!C6*(1+Assumptions!$B$10)</x:f>
        <x:v>1996576.0499999996</x:v>
      </x:c>
      <x:c r="G6" t="str">
        <x:f>IF(C6&gt;=0,"Above Plan","Below Plan")</x:f>
        <x:v>Below Plan</x:v>
      </x:c>
      <x:c r="H6" t="str">
        <x:f>IF(E6&gt;=0,"Above Plan","Below Plan")</x:f>
        <x:v>Below Plan</x:v>
      </x:c>
    </x:row>
    <x:row r="7">
      <x:c r="A7" s="44" t="n">
        <x:f>'Monthly Data'!A7</x:f>
        <x:v>46113</x:v>
      </x:c>
      <x:c r="B7" s="42" t="n">
        <x:f>'Monthly Data'!C7-'Monthly Data'!B7</x:f>
        <x:v>62740.7024999999</x:v>
      </x:c>
      <x:c r="C7" s="45" t="n">
        <x:f>'Monthly Data'!J7</x:f>
        <x:v>0.02999999999999996</x:v>
      </x:c>
      <x:c r="D7" s="42" t="n">
        <x:f>'Monthly Data'!I7-'Monthly Data'!H7</x:f>
        <x:v>31935.017572499986</x:v>
      </x:c>
      <x:c r="E7" s="45" t="n">
        <x:f>'Monthly Data'!K7</x:f>
        <x:v>0.07635000000000003</x:v>
      </x:c>
      <x:c r="F7" s="42" t="n">
        <x:f>'Monthly Data'!C7*(1+Assumptions!$B$10)</x:f>
        <x:v>2197179.401549999</x:v>
      </x:c>
      <x:c r="G7" t="str">
        <x:f>IF(C7&gt;=0,"Above Plan","Below Plan")</x:f>
        <x:v>Above Plan</x:v>
      </x:c>
      <x:c r="H7" t="str">
        <x:f>IF(E7&gt;=0,"Above Plan","Below Plan")</x:f>
        <x:v>Above Plan</x:v>
      </x:c>
    </x:row>
    <x:row r="8">
      <x:c r="A8" s="44" t="n">
        <x:f>'Monthly Data'!A8</x:f>
        <x:v>46143</x:v>
      </x:c>
      <x:c r="B8" s="42" t="n">
        <x:f>'Monthly Data'!C8-'Monthly Data'!B8</x:f>
        <x:v>0</x:v>
      </x:c>
      <x:c r="C8" s="45" t="n">
        <x:f>'Monthly Data'!J8</x:f>
        <x:v>0</x:v>
      </x:c>
      <x:c r="D8" s="42" t="n">
        <x:f>'Monthly Data'!I8-'Monthly Data'!H8</x:f>
        <x:v>-10613.635506249906</x:v>
      </x:c>
      <x:c r="E8" s="45" t="n">
        <x:f>'Monthly Data'!K8</x:f>
        <x:v>-0.024999999999999797</x:v>
      </x:c>
      <x:c r="F8" s="42" t="n">
        <x:f>'Monthly Data'!C8*(1+Assumptions!$B$10)</x:f>
        <x:v>2165181.6432749988</x:v>
      </x:c>
      <x:c r="G8" t="str">
        <x:f>IF(C8&gt;=0,"Above Plan","Below Plan")</x:f>
        <x:v>Above Plan</x:v>
      </x:c>
      <x:c r="H8" t="str">
        <x:f>IF(E8&gt;=0,"Above Plan","Below Plan")</x:f>
        <x:v>Below Plan</x:v>
      </x:c>
    </x:row>
    <x:row r="9">
      <x:c r="A9" s="44" t="n">
        <x:f>'Monthly Data'!A9</x:f>
        <x:v>46174</x:v>
      </x:c>
      <x:c r="B9" s="42" t="n">
        <x:f>'Monthly Data'!C9-'Monthly Data'!B9</x:f>
        <x:v>-43091.36015537521</x:v>
      </x:c>
      <x:c r="C9" s="45" t="n">
        <x:f>'Monthly Data'!J9</x:f>
        <x:v>-0.020000000000000108</x:v>
      </x:c>
      <x:c r="D9" s="42" t="n">
        <x:f>'Monthly Data'!I9-'Monthly Data'!H9</x:f>
        <x:v>-33955.99180243566</x:v>
      </x:c>
      <x:c r="E9" s="45" t="n">
        <x:f>'Monthly Data'!K9</x:f>
        <x:v>-0.07880000000000041</x:v>
      </x:c>
      <x:c r="F9" s="42" t="n">
        <x:f>'Monthly Data'!C9*(1+Assumptions!$B$10)</x:f>
        <x:v>2153706.1805656413</x:v>
      </x:c>
      <x:c r="G9" t="str">
        <x:f>IF(C9&gt;=0,"Above Plan","Below Plan")</x:f>
        <x:v>Below Plan</x:v>
      </x:c>
      <x:c r="H9" t="str">
        <x:f>IF(E9&gt;=0,"Above Plan","Below Plan")</x:f>
        <x:v>Below Plan</x:v>
      </x:c>
    </x:row>
    <x:row r="10">
      <x:c r="A10" s="44" t="n">
        <x:f>'Monthly Data'!A10</x:f>
        <x:v>46204</x:v>
      </x:c>
      <x:c r="B10" s="42" t="n">
        <x:f>'Monthly Data'!C10-'Monthly Data'!B10</x:f>
        <x:v>87475.46111541148</x:v>
      </x:c>
      <x:c r="C10" s="45" t="n">
        <x:f>'Monthly Data'!J10</x:f>
        <x:v>0.04000000000000014</x:v>
      </x:c>
      <x:c r="D10" s="42" t="n">
        <x:f>'Monthly Data'!I10-'Monthly Data'!H10</x:f>
        <x:v>37964.35012408858</x:v>
      </x:c>
      <x:c r="E10" s="45" t="n">
        <x:f>'Monthly Data'!K10</x:f>
        <x:v>0.08680000000000032</x:v>
      </x:c>
      <x:c r="F10" s="42" t="n">
        <x:f>'Monthly Data'!C10*(1+Assumptions!$B$10)</x:f>
        <x:v>2319849.228780705</x:v>
      </x:c>
      <x:c r="G10" t="str">
        <x:f>IF(C10&gt;=0,"Above Plan","Below Plan")</x:f>
        <x:v>Above Plan</x:v>
      </x:c>
      <x:c r="H10" t="str">
        <x:f>IF(E10&gt;=0,"Above Plan","Below Plan")</x:f>
        <x:v>Above Plan</x:v>
      </x:c>
    </x:row>
    <x:row r="11">
      <x:c r="A11" s="44" t="n">
        <x:f>'Monthly Data'!A11</x:f>
        <x:v>46235</x:v>
      </x:c>
      <x:c r="B11" s="42" t="n">
        <x:f>'Monthly Data'!C11-'Monthly Data'!B11</x:f>
        <x:v>-88787.59303214261</x:v>
      </x:c>
      <x:c r="C11" s="45" t="n">
        <x:f>'Monthly Data'!J11</x:f>
        <x:v>-0.04000000000000012</x:v>
      </x:c>
      <x:c r="D11" s="42" t="n">
        <x:f>'Monthly Data'!I11-'Monthly Data'!H11</x:f>
        <x:v>-60375.56326185691</x:v>
      </x:c>
      <x:c r="E11" s="45" t="n">
        <x:f>'Monthly Data'!K11</x:f>
        <x:v>-0.13600000000000026</x:v>
      </x:c>
      <x:c r="F11" s="42" t="n">
        <x:f>'Monthly Data'!C11*(1+Assumptions!$B$10)</x:f>
        <x:v>2173520.2774268445</x:v>
      </x:c>
      <x:c r="G11" t="str">
        <x:f>IF(C11&gt;=0,"Above Plan","Below Plan")</x:f>
        <x:v>Below Plan</x:v>
      </x:c>
      <x:c r="H11" t="str">
        <x:f>IF(E11&gt;=0,"Above Plan","Below Plan")</x:f>
        <x:v>Below Plan</x:v>
      </x:c>
    </x:row>
    <x:row r="12">
      <x:c r="A12" s="44" t="n">
        <x:f>'Monthly Data'!A12</x:f>
        <x:v>46266</x:v>
      </x:c>
      <x:c r="B12" s="42" t="n">
        <x:f>'Monthly Data'!C12-'Monthly Data'!B12</x:f>
        <x:v>45059.70346381236</x:v>
      </x:c>
      <x:c r="C12" s="45" t="n">
        <x:f>'Monthly Data'!J12</x:f>
        <x:v>0.020000000000000052</x:v>
      </x:c>
      <x:c r="D12" s="42" t="n">
        <x:f>'Monthly Data'!I12-'Monthly Data'!H12</x:f>
        <x:v>20502.165076034493</x:v>
      </x:c>
      <x:c r="E12" s="45" t="n">
        <x:f>'Monthly Data'!K12</x:f>
        <x:v>0.04549999999999984</x:v>
      </x:c>
      <x:c r="F12" s="42" t="n">
        <x:f>'Monthly Data'!C12*(1+Assumptions!$B$10)</x:f>
        <x:v>2344005.7741875127</x:v>
      </x:c>
      <x:c r="G12" t="str">
        <x:f>IF(C12&gt;=0,"Above Plan","Below Plan")</x:f>
        <x:v>Above Plan</x:v>
      </x:c>
      <x:c r="H12" t="str">
        <x:f>IF(E12&gt;=0,"Above Plan","Below Plan")</x:f>
        <x:v>Above Plan</x:v>
      </x:c>
    </x:row>
    <x:row r="13">
      <x:c r="A13" s="44" t="n">
        <x:f>'Monthly Data'!A13</x:f>
        <x:v>46296</x:v>
      </x:c>
      <x:c r="B13" s="42" t="n">
        <x:f>'Monthly Data'!C13-'Monthly Data'!B13</x:f>
        <x:v>114338.99753942387</x:v>
      </x:c>
      <x:c r="C13" s="45" t="n">
        <x:f>'Monthly Data'!J13</x:f>
        <x:v>0.05000000000000014</x:v>
      </x:c>
      <x:c r="D13" s="42" t="n">
        <x:f>'Monthly Data'!I13-'Monthly Data'!H13</x:f>
        <x:v>51681.22688781959</x:v>
      </x:c>
      <x:c r="E13" s="45" t="n">
        <x:f>'Monthly Data'!K13</x:f>
        <x:v>0.11300000000000035</x:v>
      </x:c>
      <x:c r="F13" s="42" t="n">
        <x:f>'Monthly Data'!C13*(1+Assumptions!$B$10)</x:f>
        <x:v>2449141.3272944526</x:v>
      </x:c>
      <x:c r="G13" t="str">
        <x:f>IF(C13&gt;=0,"Above Plan","Below Plan")</x:f>
        <x:v>Above Plan</x:v>
      </x:c>
      <x:c r="H13" t="str">
        <x:f>IF(E13&gt;=0,"Above Plan","Below Plan")</x:f>
        <x:v>Above Plan</x:v>
      </x:c>
    </x:row>
    <x:row r="14">
      <x:c r="A14" s="44" t="n">
        <x:f>'Monthly Data'!A14</x:f>
        <x:v>46327</x:v>
      </x:c>
      <x:c r="B14" s="42" t="n">
        <x:f>'Monthly Data'!C14-'Monthly Data'!B14</x:f>
        <x:v>-23210.816500503104</x:v>
      </x:c>
      <x:c r="C14" s="45" t="n">
        <x:f>'Monthly Data'!J14</x:f>
        <x:v>-0.010000000000000054</x:v>
      </x:c>
      <x:c r="D14" s="42" t="n">
        <x:f>'Monthly Data'!I14-'Monthly Data'!H14</x:f>
        <x:v>-20727.2591349493</x:v>
      </x:c>
      <x:c r="E14" s="45" t="n">
        <x:f>'Monthly Data'!K14</x:f>
        <x:v>-0.04465000000000031</x:v>
      </x:c>
      <x:c r="F14" s="42" t="n">
        <x:f>'Monthly Data'!C14*(1+Assumptions!$B$10)</x:f>
        <x:v>2343828.2502207905</x:v>
      </x:c>
      <x:c r="G14" t="str">
        <x:f>IF(C14&gt;=0,"Above Plan","Below Plan")</x:f>
        <x:v>Below Plan</x:v>
      </x:c>
      <x:c r="H14" t="str">
        <x:f>IF(E14&gt;=0,"Above Plan","Below Plan")</x:f>
        <x:v>Below Plan</x:v>
      </x:c>
    </x:row>
    <x:row r="15">
      <x:c r="A15" s="44" t="n">
        <x:f>'Monthly Data'!A15</x:f>
        <x:v>46357</x:v>
      </x:c>
      <x:c r="B15" s="42" t="n">
        <x:f>'Monthly Data'!C15-'Monthly Data'!B15</x:f>
        <x:v>70676.93624403141</x:v>
      </x:c>
      <x:c r="C15" s="45" t="n">
        <x:f>'Monthly Data'!J15</x:f>
        <x:v>0.029999999999999936</x:v>
      </x:c>
      <x:c r="D15" s="42" t="n">
        <x:f>'Monthly Data'!I15-'Monthly Data'!H15</x:f>
        <x:v>38401.13535925723</x:v>
      </x:c>
      <x:c r="E15" s="45" t="n">
        <x:f>'Monthly Data'!K15</x:f>
        <x:v>0.08150000000000017</x:v>
      </x:c>
      <x:c r="F15" s="42" t="n">
        <x:f>'Monthly Data'!C15*(1+Assumptions!$B$10)</x:f>
        <x:v>2475106.3072659853</x:v>
      </x:c>
      <x:c r="G15" t="str">
        <x:f>IF(C15&gt;=0,"Above Plan","Below Plan")</x:f>
        <x:v>Above Plan</x:v>
      </x:c>
      <x:c r="H15" t="str">
        <x:f>IF(E15&gt;=0,"Above Plan","Below Plan")</x:f>
        <x:v>Above Plan</x:v>
      </x:c>
    </x:row>
  </x:sheetData>
  <x:mergeCells>
    <x:mergeCell ref="A1:H1"/>
  </x:mergeCells>
  <x:conditionalFormatting sqref="B4:E1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4" hidden="0" customWidth="1"/>
  </x:cols>
  <x:sheetData>
    <x:row r="1">
      <x:c r="A1" s="5" t="str">
        <x:v>Exception Detection &amp; Review Queue</x:v>
      </x:c>
      <x:c r="B1" s="5"/>
      <x:c r="C1" s="5"/>
      <x:c r="D1" s="5"/>
      <x:c r="E1" s="5"/>
      <x:c r="F1" s="5"/>
      <x:c r="G1" s="5"/>
    </x:row>
    <x:row r="3">
      <x:c r="A3" s="14" t="str">
        <x:v>Month</x:v>
      </x:c>
      <x:c r="B3" s="14" t="str">
        <x:v>Revenue Var %</x:v>
      </x:c>
      <x:c r="C3" s="14" t="str">
        <x:v>EBITDA Var %</x:v>
      </x:c>
      <x:c r="D3" s="14" t="str">
        <x:v>Revenue Alert</x:v>
      </x:c>
      <x:c r="E3" s="14" t="str">
        <x:v>EBITDA Alert</x:v>
      </x:c>
      <x:c r="F3" s="14" t="str">
        <x:v>Priority</x:v>
      </x:c>
      <x:c r="G3" s="14" t="str">
        <x:v>Review Action</x:v>
      </x:c>
    </x:row>
    <x:row r="4">
      <x:c r="A4" s="44" t="n">
        <x:f>'Variance Engine'!A4</x:f>
        <x:v>46023</x:v>
      </x:c>
      <x:c r="B4" s="45" t="n">
        <x:f>'Variance Engine'!C4</x:f>
        <x:v>-0.03</x:v>
      </x:c>
      <x:c r="C4" s="45" t="n">
        <x:f>'Variance Engine'!E4</x:f>
        <x:v>-0.07365</x:v>
      </x:c>
      <x:c r="D4" s="48" t="str">
        <x:f>IF(ABS(B4)&gt;=Assumptions!$B$8,"Review","OK")</x:f>
        <x:v>Review</x:v>
      </x:c>
      <x:c r="E4" s="48" t="str">
        <x:f>IF(ABS(C4)&gt;=Assumptions!$B$9,"Review","OK")</x:f>
        <x:v>Review</x:v>
      </x:c>
      <x:c r="F4" s="48" t="str">
        <x:f>IF(OR(D4="Review",E4="Review"),IF(AND(D4="Review",E4="Review"),"High","Medium"),"Normal")</x:f>
        <x:v>High</x:v>
      </x:c>
      <x:c r="G4" s="48" t="str">
        <x:f>IF(F4="High","Investigate revenue and cost drivers",IF(F4="Medium","Review material variance","Routine monitoring"))</x:f>
        <x:v>Investigate revenue and cost drivers</x:v>
      </x:c>
    </x:row>
    <x:row r="5">
      <x:c r="A5" s="44" t="n">
        <x:f>'Variance Engine'!A5</x:f>
        <x:v>46054</x:v>
      </x:c>
      <x:c r="B5" s="45" t="n">
        <x:f>'Variance Engine'!C5</x:f>
        <x:v>0.010000000000000002</x:v>
      </x:c>
      <x:c r="C5" s="45" t="n">
        <x:f>'Variance Engine'!E5</x:f>
        <x:v>0.025149999999999926</x:v>
      </x:c>
      <x:c r="D5" s="48" t="str">
        <x:f>IF(ABS(B5)&gt;=Assumptions!$B$8,"Review","OK")</x:f>
        <x:v>OK</x:v>
      </x:c>
      <x:c r="E5" s="48" t="str">
        <x:f>IF(ABS(C5)&gt;=Assumptions!$B$9,"Review","OK")</x:f>
        <x:v>OK</x:v>
      </x:c>
      <x:c r="F5" s="48" t="str">
        <x:f>IF(OR(D5="Review",E5="Review"),IF(AND(D5="Review",E5="Review"),"High","Medium"),"Normal")</x:f>
        <x:v>Normal</x:v>
      </x:c>
      <x:c r="G5" s="48" t="str">
        <x:f>IF(F5="High","Investigate revenue and cost drivers",IF(F5="Medium","Review material variance","Routine monitoring"))</x:f>
        <x:v>Routine monitoring</x:v>
      </x:c>
    </x:row>
    <x:row r="6">
      <x:c r="A6" s="44" t="n">
        <x:f>'Variance Engine'!A6</x:f>
        <x:v>46082</x:v>
      </x:c>
      <x:c r="B6" s="45" t="n">
        <x:f>'Variance Engine'!C6</x:f>
        <x:v>-0.05000000000000001</x:v>
      </x:c>
      <x:c r="C6" s="45" t="n">
        <x:f>'Variance Engine'!E6</x:f>
        <x:v>-0.1355000000000002</x:v>
      </x:c>
      <x:c r="D6" s="48" t="str">
        <x:f>IF(ABS(B6)&gt;=Assumptions!$B$8,"Review","OK")</x:f>
        <x:v>Review</x:v>
      </x:c>
      <x:c r="E6" s="48" t="str">
        <x:f>IF(ABS(C6)&gt;=Assumptions!$B$9,"Review","OK")</x:f>
        <x:v>Review</x:v>
      </x:c>
      <x:c r="F6" s="48" t="str">
        <x:f>IF(OR(D6="Review",E6="Review"),IF(AND(D6="Review",E6="Review"),"High","Medium"),"Normal")</x:f>
        <x:v>High</x:v>
      </x:c>
      <x:c r="G6" s="48" t="str">
        <x:f>IF(F6="High","Investigate revenue and cost drivers",IF(F6="Medium","Review material variance","Routine monitoring"))</x:f>
        <x:v>Investigate revenue and cost drivers</x:v>
      </x:c>
    </x:row>
    <x:row r="7">
      <x:c r="A7" s="44" t="n">
        <x:f>'Variance Engine'!A7</x:f>
        <x:v>46113</x:v>
      </x:c>
      <x:c r="B7" s="45" t="n">
        <x:f>'Variance Engine'!C7</x:f>
        <x:v>0.02999999999999996</x:v>
      </x:c>
      <x:c r="C7" s="45" t="n">
        <x:f>'Variance Engine'!E7</x:f>
        <x:v>0.07635000000000003</x:v>
      </x:c>
      <x:c r="D7" s="48" t="str">
        <x:f>IF(ABS(B7)&gt;=Assumptions!$B$8,"Review","OK")</x:f>
        <x:v>Review</x:v>
      </x:c>
      <x:c r="E7" s="48" t="str">
        <x:f>IF(ABS(C7)&gt;=Assumptions!$B$9,"Review","OK")</x:f>
        <x:v>Review</x:v>
      </x:c>
      <x:c r="F7" s="48" t="str">
        <x:f>IF(OR(D7="Review",E7="Review"),IF(AND(D7="Review",E7="Review"),"High","Medium"),"Normal")</x:f>
        <x:v>High</x:v>
      </x:c>
      <x:c r="G7" s="48" t="str">
        <x:f>IF(F7="High","Investigate revenue and cost drivers",IF(F7="Medium","Review material variance","Routine monitoring"))</x:f>
        <x:v>Investigate revenue and cost drivers</x:v>
      </x:c>
    </x:row>
    <x:row r="8">
      <x:c r="A8" s="44" t="n">
        <x:f>'Variance Engine'!A8</x:f>
        <x:v>46143</x:v>
      </x:c>
      <x:c r="B8" s="45" t="n">
        <x:f>'Variance Engine'!C8</x:f>
        <x:v>0</x:v>
      </x:c>
      <x:c r="C8" s="45" t="n">
        <x:f>'Variance Engine'!E8</x:f>
        <x:v>-0.024999999999999797</x:v>
      </x:c>
      <x:c r="D8" s="48" t="str">
        <x:f>IF(ABS(B8)&gt;=Assumptions!$B$8,"Review","OK")</x:f>
        <x:v>OK</x:v>
      </x:c>
      <x:c r="E8" s="48" t="str">
        <x:f>IF(ABS(C8)&gt;=Assumptions!$B$9,"Review","OK")</x:f>
        <x:v>OK</x:v>
      </x:c>
      <x:c r="F8" s="48" t="str">
        <x:f>IF(OR(D8="Review",E8="Review"),IF(AND(D8="Review",E8="Review"),"High","Medium"),"Normal")</x:f>
        <x:v>Normal</x:v>
      </x:c>
      <x:c r="G8" s="48" t="str">
        <x:f>IF(F8="High","Investigate revenue and cost drivers",IF(F8="Medium","Review material variance","Routine monitoring"))</x:f>
        <x:v>Routine monitoring</x:v>
      </x:c>
    </x:row>
    <x:row r="9">
      <x:c r="A9" s="44" t="n">
        <x:f>'Variance Engine'!A9</x:f>
        <x:v>46174</x:v>
      </x:c>
      <x:c r="B9" s="45" t="n">
        <x:f>'Variance Engine'!C9</x:f>
        <x:v>-0.020000000000000108</x:v>
      </x:c>
      <x:c r="C9" s="45" t="n">
        <x:f>'Variance Engine'!E9</x:f>
        <x:v>-0.07880000000000041</x:v>
      </x:c>
      <x:c r="D9" s="48" t="str">
        <x:f>IF(ABS(B9)&gt;=Assumptions!$B$8,"Review","OK")</x:f>
        <x:v>OK</x:v>
      </x:c>
      <x:c r="E9" s="48" t="str">
        <x:f>IF(ABS(C9)&gt;=Assumptions!$B$9,"Review","OK")</x:f>
        <x:v>Review</x:v>
      </x:c>
      <x:c r="F9" s="48" t="str">
        <x:f>IF(OR(D9="Review",E9="Review"),IF(AND(D9="Review",E9="Review"),"High","Medium"),"Normal")</x:f>
        <x:v>Medium</x:v>
      </x:c>
      <x:c r="G9" s="48" t="str">
        <x:f>IF(F9="High","Investigate revenue and cost drivers",IF(F9="Medium","Review material variance","Routine monitoring"))</x:f>
        <x:v>Review material variance</x:v>
      </x:c>
    </x:row>
    <x:row r="10">
      <x:c r="A10" s="44" t="n">
        <x:f>'Variance Engine'!A10</x:f>
        <x:v>46204</x:v>
      </x:c>
      <x:c r="B10" s="45" t="n">
        <x:f>'Variance Engine'!C10</x:f>
        <x:v>0.04000000000000014</x:v>
      </x:c>
      <x:c r="C10" s="45" t="n">
        <x:f>'Variance Engine'!E10</x:f>
        <x:v>0.08680000000000032</x:v>
      </x:c>
      <x:c r="D10" s="48" t="str">
        <x:f>IF(ABS(B10)&gt;=Assumptions!$B$8,"Review","OK")</x:f>
        <x:v>Review</x:v>
      </x:c>
      <x:c r="E10" s="48" t="str">
        <x:f>IF(ABS(C10)&gt;=Assumptions!$B$9,"Review","OK")</x:f>
        <x:v>Review</x:v>
      </x:c>
      <x:c r="F10" s="48" t="str">
        <x:f>IF(OR(D10="Review",E10="Review"),IF(AND(D10="Review",E10="Review"),"High","Medium"),"Normal")</x:f>
        <x:v>High</x:v>
      </x:c>
      <x:c r="G10" s="48" t="str">
        <x:f>IF(F10="High","Investigate revenue and cost drivers",IF(F10="Medium","Review material variance","Routine monitoring"))</x:f>
        <x:v>Investigate revenue and cost drivers</x:v>
      </x:c>
    </x:row>
    <x:row r="11">
      <x:c r="A11" s="44" t="n">
        <x:f>'Variance Engine'!A11</x:f>
        <x:v>46235</x:v>
      </x:c>
      <x:c r="B11" s="45" t="n">
        <x:f>'Variance Engine'!C11</x:f>
        <x:v>-0.04000000000000012</x:v>
      </x:c>
      <x:c r="C11" s="45" t="n">
        <x:f>'Variance Engine'!E11</x:f>
        <x:v>-0.13600000000000026</x:v>
      </x:c>
      <x:c r="D11" s="48" t="str">
        <x:f>IF(ABS(B11)&gt;=Assumptions!$B$8,"Review","OK")</x:f>
        <x:v>Review</x:v>
      </x:c>
      <x:c r="E11" s="48" t="str">
        <x:f>IF(ABS(C11)&gt;=Assumptions!$B$9,"Review","OK")</x:f>
        <x:v>Review</x:v>
      </x:c>
      <x:c r="F11" s="48" t="str">
        <x:f>IF(OR(D11="Review",E11="Review"),IF(AND(D11="Review",E11="Review"),"High","Medium"),"Normal")</x:f>
        <x:v>High</x:v>
      </x:c>
      <x:c r="G11" s="48" t="str">
        <x:f>IF(F11="High","Investigate revenue and cost drivers",IF(F11="Medium","Review material variance","Routine monitoring"))</x:f>
        <x:v>Investigate revenue and cost drivers</x:v>
      </x:c>
    </x:row>
    <x:row r="12">
      <x:c r="A12" s="44" t="n">
        <x:f>'Variance Engine'!A12</x:f>
        <x:v>46266</x:v>
      </x:c>
      <x:c r="B12" s="45" t="n">
        <x:f>'Variance Engine'!C12</x:f>
        <x:v>0.020000000000000052</x:v>
      </x:c>
      <x:c r="C12" s="45" t="n">
        <x:f>'Variance Engine'!E12</x:f>
        <x:v>0.04549999999999984</x:v>
      </x:c>
      <x:c r="D12" s="48" t="str">
        <x:f>IF(ABS(B12)&gt;=Assumptions!$B$8,"Review","OK")</x:f>
        <x:v>OK</x:v>
      </x:c>
      <x:c r="E12" s="48" t="str">
        <x:f>IF(ABS(C12)&gt;=Assumptions!$B$9,"Review","OK")</x:f>
        <x:v>OK</x:v>
      </x:c>
      <x:c r="F12" s="48" t="str">
        <x:f>IF(OR(D12="Review",E12="Review"),IF(AND(D12="Review",E12="Review"),"High","Medium"),"Normal")</x:f>
        <x:v>Normal</x:v>
      </x:c>
      <x:c r="G12" s="48" t="str">
        <x:f>IF(F12="High","Investigate revenue and cost drivers",IF(F12="Medium","Review material variance","Routine monitoring"))</x:f>
        <x:v>Routine monitoring</x:v>
      </x:c>
    </x:row>
    <x:row r="13">
      <x:c r="A13" s="44" t="n">
        <x:f>'Variance Engine'!A13</x:f>
        <x:v>46296</x:v>
      </x:c>
      <x:c r="B13" s="45" t="n">
        <x:f>'Variance Engine'!C13</x:f>
        <x:v>0.05000000000000014</x:v>
      </x:c>
      <x:c r="C13" s="45" t="n">
        <x:f>'Variance Engine'!E13</x:f>
        <x:v>0.11300000000000035</x:v>
      </x:c>
      <x:c r="D13" s="48" t="str">
        <x:f>IF(ABS(B13)&gt;=Assumptions!$B$8,"Review","OK")</x:f>
        <x:v>Review</x:v>
      </x:c>
      <x:c r="E13" s="48" t="str">
        <x:f>IF(ABS(C13)&gt;=Assumptions!$B$9,"Review","OK")</x:f>
        <x:v>Review</x:v>
      </x:c>
      <x:c r="F13" s="48" t="str">
        <x:f>IF(OR(D13="Review",E13="Review"),IF(AND(D13="Review",E13="Review"),"High","Medium"),"Normal")</x:f>
        <x:v>High</x:v>
      </x:c>
      <x:c r="G13" s="48" t="str">
        <x:f>IF(F13="High","Investigate revenue and cost drivers",IF(F13="Medium","Review material variance","Routine monitoring"))</x:f>
        <x:v>Investigate revenue and cost drivers</x:v>
      </x:c>
    </x:row>
    <x:row r="14">
      <x:c r="A14" s="44" t="n">
        <x:f>'Variance Engine'!A14</x:f>
        <x:v>46327</x:v>
      </x:c>
      <x:c r="B14" s="45" t="n">
        <x:f>'Variance Engine'!C14</x:f>
        <x:v>-0.010000000000000054</x:v>
      </x:c>
      <x:c r="C14" s="45" t="n">
        <x:f>'Variance Engine'!E14</x:f>
        <x:v>-0.04465000000000031</x:v>
      </x:c>
      <x:c r="D14" s="48" t="str">
        <x:f>IF(ABS(B14)&gt;=Assumptions!$B$8,"Review","OK")</x:f>
        <x:v>OK</x:v>
      </x:c>
      <x:c r="E14" s="48" t="str">
        <x:f>IF(ABS(C14)&gt;=Assumptions!$B$9,"Review","OK")</x:f>
        <x:v>OK</x:v>
      </x:c>
      <x:c r="F14" s="48" t="str">
        <x:f>IF(OR(D14="Review",E14="Review"),IF(AND(D14="Review",E14="Review"),"High","Medium"),"Normal")</x:f>
        <x:v>Normal</x:v>
      </x:c>
      <x:c r="G14" s="48" t="str">
        <x:f>IF(F14="High","Investigate revenue and cost drivers",IF(F14="Medium","Review material variance","Routine monitoring"))</x:f>
        <x:v>Routine monitoring</x:v>
      </x:c>
    </x:row>
    <x:row r="15">
      <x:c r="A15" s="44" t="n">
        <x:f>'Variance Engine'!A15</x:f>
        <x:v>46357</x:v>
      </x:c>
      <x:c r="B15" s="45" t="n">
        <x:f>'Variance Engine'!C15</x:f>
        <x:v>0.029999999999999936</x:v>
      </x:c>
      <x:c r="C15" s="45" t="n">
        <x:f>'Variance Engine'!E15</x:f>
        <x:v>0.08150000000000017</x:v>
      </x:c>
      <x:c r="D15" s="48" t="str">
        <x:f>IF(ABS(B15)&gt;=Assumptions!$B$8,"Review","OK")</x:f>
        <x:v>Review</x:v>
      </x:c>
      <x:c r="E15" s="48" t="str">
        <x:f>IF(ABS(C15)&gt;=Assumptions!$B$9,"Review","OK")</x:f>
        <x:v>Review</x:v>
      </x:c>
      <x:c r="F15" s="48" t="str">
        <x:f>IF(OR(D15="Review",E15="Review"),IF(AND(D15="Review",E15="Review"),"High","Medium"),"Normal")</x:f>
        <x:v>High</x:v>
      </x:c>
      <x:c r="G15" s="48" t="str">
        <x:f>IF(F15="High","Investigate revenue and cost drivers",IF(F15="Medium","Review material variance","Routine monitoring"))</x:f>
        <x:v>Investigate revenue and cost drivers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73b9ba5ccbb45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24" hidden="0" customWidth="1"/>
    <x:col min="5" max="5" width="48" hidden="0" customWidth="1"/>
    <x:col min="6" max="6" width="48" hidden="0" customWidth="1"/>
  </x:cols>
  <x:sheetData>
    <x:row r="1">
      <x:c r="A1" s="5" t="str">
        <x:v>Management Commentary Generator</x:v>
      </x:c>
      <x:c r="B1" s="5"/>
      <x:c r="C1" s="5"/>
      <x:c r="D1" s="5"/>
      <x:c r="E1" s="5"/>
      <x:c r="F1" s="5"/>
    </x:row>
    <x:row r="3">
      <x:c r="A3" s="14" t="str">
        <x:v>Month</x:v>
      </x:c>
      <x:c r="B3" s="14" t="str">
        <x:v>Revenue Commentary</x:v>
      </x:c>
      <x:c r="C3" s="14" t="str">
        <x:v>EBITDA Commentary</x:v>
      </x:c>
      <x:c r="D3" s="14" t="str">
        <x:v>Priority</x:v>
      </x:c>
      <x:c r="E3" s="14" t="str">
        <x:v>Suggested Management Focus</x:v>
      </x:c>
      <x:c r="F3" s="14" t="str">
        <x:v>Commentary Input</x:v>
      </x:c>
    </x:row>
    <x:row r="4">
      <x:c r="A4" s="50" t="n">
        <x:f>'Variance Engine'!A4</x:f>
        <x:v>46023</x:v>
      </x:c>
      <x:c r="B4" s="51" t="str">
        <x:f>"Revenue was "&amp;TEXT(ABS('Variance Engine'!C4),"0.0%")&amp;IF('Variance Engine'!C4&gt;=0," above"," below")&amp;" budget."</x:f>
        <x:v>Revenue was 3.0% below budget.</x:v>
      </x:c>
      <x:c r="C4" s="51" t="str">
        <x:f>"EBITDA was "&amp;TEXT(ABS('Variance Engine'!E4),"0.0%")&amp;IF('Variance Engine'!E4&gt;=0," above"," below")&amp;" budget."</x:f>
        <x:v>EBITDA was 7.4% below budget.</x:v>
      </x:c>
      <x:c r="D4" s="51" t="str">
        <x:f>'Exception Flags'!F4</x:f>
        <x:v>High</x:v>
      </x:c>
      <x:c r="E4" s="51" t="str">
        <x:f>IF(D4="High","Explain both revenue and margin drivers.",IF(D4="Medium","Explain the material variance and corrective action.","Summarize performance and monitor trend."))</x:f>
        <x:v>Explain both revenue and margin drivers.</x:v>
      </x:c>
      <x:c r="F4" s="51" t="str">
        <x:f>"Prepare concise monthly management commentary. "&amp;B4&amp;" "&amp;C4&amp;" Priority: "&amp;D4&amp;". Focus: "&amp;E4</x:f>
        <x:v>Prepare concise monthly management commentary. Revenue was 3.0% below budget. EBITDA was 7.4% below budget. Priority: High. Focus: Explain both revenue and margin drivers.</x:v>
      </x:c>
    </x:row>
    <x:row r="5">
      <x:c r="A5" s="50" t="n">
        <x:f>'Variance Engine'!A5</x:f>
        <x:v>46054</x:v>
      </x:c>
      <x:c r="B5" s="51" t="str">
        <x:f>"Revenue was "&amp;TEXT(ABS('Variance Engine'!C5),"0.0%")&amp;IF('Variance Engine'!C5&gt;=0," above"," below")&amp;" budget."</x:f>
        <x:v>Revenue was 1.0% above budget.</x:v>
      </x:c>
      <x:c r="C5" s="51" t="str">
        <x:f>"EBITDA was "&amp;TEXT(ABS('Variance Engine'!E5),"0.0%")&amp;IF('Variance Engine'!E5&gt;=0," above"," below")&amp;" budget."</x:f>
        <x:v>EBITDA was 2.5% above budget.</x:v>
      </x:c>
      <x:c r="D5" s="51" t="str">
        <x:f>'Exception Flags'!F5</x:f>
        <x:v>Normal</x:v>
      </x:c>
      <x:c r="E5" s="51" t="str">
        <x:f>IF(D5="High","Explain both revenue and margin drivers.",IF(D5="Medium","Explain the material variance and corrective action.","Summarize performance and monitor trend."))</x:f>
        <x:v>Summarize performance and monitor trend.</x:v>
      </x:c>
      <x:c r="F5" s="51" t="str">
        <x:f>"Prepare concise monthly management commentary. "&amp;B5&amp;" "&amp;C5&amp;" Priority: "&amp;D5&amp;". Focus: "&amp;E5</x:f>
        <x:v>Prepare concise monthly management commentary. Revenue was 1.0% above budget. EBITDA was 2.5% above budget. Priority: Normal. Focus: Summarize performance and monitor trend.</x:v>
      </x:c>
    </x:row>
    <x:row r="6">
      <x:c r="A6" s="50" t="n">
        <x:f>'Variance Engine'!A6</x:f>
        <x:v>46082</x:v>
      </x:c>
      <x:c r="B6" s="51" t="str">
        <x:f>"Revenue was "&amp;TEXT(ABS('Variance Engine'!C6),"0.0%")&amp;IF('Variance Engine'!C6&gt;=0," above"," below")&amp;" budget."</x:f>
        <x:v>Revenue was 5.0% below budget.</x:v>
      </x:c>
      <x:c r="C6" s="51" t="str">
        <x:f>"EBITDA was "&amp;TEXT(ABS('Variance Engine'!E6),"0.0%")&amp;IF('Variance Engine'!E6&gt;=0," above"," below")&amp;" budget."</x:f>
        <x:v>EBITDA was 13.6% below budget.</x:v>
      </x:c>
      <x:c r="D6" s="51" t="str">
        <x:f>'Exception Flags'!F6</x:f>
        <x:v>High</x:v>
      </x:c>
      <x:c r="E6" s="51" t="str">
        <x:f>IF(D6="High","Explain both revenue and margin drivers.",IF(D6="Medium","Explain the material variance and corrective action.","Summarize performance and monitor trend."))</x:f>
        <x:v>Explain both revenue and margin drivers.</x:v>
      </x:c>
      <x:c r="F6" s="51" t="str">
        <x:f>"Prepare concise monthly management commentary. "&amp;B6&amp;" "&amp;C6&amp;" Priority: "&amp;D6&amp;". Focus: "&amp;E6</x:f>
        <x:v>Prepare concise monthly management commentary. Revenue was 5.0% below budget. EBITDA was 13.6% below budget. Priority: High. Focus: Explain both revenue and margin drivers.</x:v>
      </x:c>
    </x:row>
    <x:row r="7">
      <x:c r="A7" s="50" t="n">
        <x:f>'Variance Engine'!A7</x:f>
        <x:v>46113</x:v>
      </x:c>
      <x:c r="B7" s="51" t="str">
        <x:f>"Revenue was "&amp;TEXT(ABS('Variance Engine'!C7),"0.0%")&amp;IF('Variance Engine'!C7&gt;=0," above"," below")&amp;" budget."</x:f>
        <x:v>Revenue was 3.0% above budget.</x:v>
      </x:c>
      <x:c r="C7" s="51" t="str">
        <x:f>"EBITDA was "&amp;TEXT(ABS('Variance Engine'!E7),"0.0%")&amp;IF('Variance Engine'!E7&gt;=0," above"," below")&amp;" budget."</x:f>
        <x:v>EBITDA was 7.6% above budget.</x:v>
      </x:c>
      <x:c r="D7" s="51" t="str">
        <x:f>'Exception Flags'!F7</x:f>
        <x:v>High</x:v>
      </x:c>
      <x:c r="E7" s="51" t="str">
        <x:f>IF(D7="High","Explain both revenue and margin drivers.",IF(D7="Medium","Explain the material variance and corrective action.","Summarize performance and monitor trend."))</x:f>
        <x:v>Explain both revenue and margin drivers.</x:v>
      </x:c>
      <x:c r="F7" s="51" t="str">
        <x:f>"Prepare concise monthly management commentary. "&amp;B7&amp;" "&amp;C7&amp;" Priority: "&amp;D7&amp;". Focus: "&amp;E7</x:f>
        <x:v>Prepare concise monthly management commentary. Revenue was 3.0% above budget. EBITDA was 7.6% above budget. Priority: High. Focus: Explain both revenue and margin drivers.</x:v>
      </x:c>
    </x:row>
    <x:row r="8">
      <x:c r="A8" s="50" t="n">
        <x:f>'Variance Engine'!A8</x:f>
        <x:v>46143</x:v>
      </x:c>
      <x:c r="B8" s="51" t="str">
        <x:f>"Revenue was "&amp;TEXT(ABS('Variance Engine'!C8),"0.0%")&amp;IF('Variance Engine'!C8&gt;=0," above"," below")&amp;" budget."</x:f>
        <x:v>Revenue was 0.0% above budget.</x:v>
      </x:c>
      <x:c r="C8" s="51" t="str">
        <x:f>"EBITDA was "&amp;TEXT(ABS('Variance Engine'!E8),"0.0%")&amp;IF('Variance Engine'!E8&gt;=0," above"," below")&amp;" budget."</x:f>
        <x:v>EBITDA was 2.5% below budget.</x:v>
      </x:c>
      <x:c r="D8" s="51" t="str">
        <x:f>'Exception Flags'!F8</x:f>
        <x:v>Normal</x:v>
      </x:c>
      <x:c r="E8" s="51" t="str">
        <x:f>IF(D8="High","Explain both revenue and margin drivers.",IF(D8="Medium","Explain the material variance and corrective action.","Summarize performance and monitor trend."))</x:f>
        <x:v>Summarize performance and monitor trend.</x:v>
      </x:c>
      <x:c r="F8" s="51" t="str">
        <x:f>"Prepare concise monthly management commentary. "&amp;B8&amp;" "&amp;C8&amp;" Priority: "&amp;D8&amp;". Focus: "&amp;E8</x:f>
        <x:v>Prepare concise monthly management commentary. Revenue was 0.0% above budget. EBITDA was 2.5% below budget. Priority: Normal. Focus: Summarize performance and monitor trend.</x:v>
      </x:c>
    </x:row>
    <x:row r="9">
      <x:c r="A9" s="50" t="n">
        <x:f>'Variance Engine'!A9</x:f>
        <x:v>46174</x:v>
      </x:c>
      <x:c r="B9" s="51" t="str">
        <x:f>"Revenue was "&amp;TEXT(ABS('Variance Engine'!C9),"0.0%")&amp;IF('Variance Engine'!C9&gt;=0," above"," below")&amp;" budget."</x:f>
        <x:v>Revenue was 2.0% below budget.</x:v>
      </x:c>
      <x:c r="C9" s="51" t="str">
        <x:f>"EBITDA was "&amp;TEXT(ABS('Variance Engine'!E9),"0.0%")&amp;IF('Variance Engine'!E9&gt;=0," above"," below")&amp;" budget."</x:f>
        <x:v>EBITDA was 7.9% below budget.</x:v>
      </x:c>
      <x:c r="D9" s="51" t="str">
        <x:f>'Exception Flags'!F9</x:f>
        <x:v>Medium</x:v>
      </x:c>
      <x:c r="E9" s="51" t="str">
        <x:f>IF(D9="High","Explain both revenue and margin drivers.",IF(D9="Medium","Explain the material variance and corrective action.","Summarize performance and monitor trend."))</x:f>
        <x:v>Explain the material variance and corrective action.</x:v>
      </x:c>
      <x:c r="F9" s="51" t="str">
        <x:f>"Prepare concise monthly management commentary. "&amp;B9&amp;" "&amp;C9&amp;" Priority: "&amp;D9&amp;". Focus: "&amp;E9</x:f>
        <x:v>Prepare concise monthly management commentary. Revenue was 2.0% below budget. EBITDA was 7.9% below budget. Priority: Medium. Focus: Explain the material variance and corrective action.</x:v>
      </x:c>
    </x:row>
    <x:row r="10">
      <x:c r="A10" s="50" t="n">
        <x:f>'Variance Engine'!A10</x:f>
        <x:v>46204</x:v>
      </x:c>
      <x:c r="B10" s="51" t="str">
        <x:f>"Revenue was "&amp;TEXT(ABS('Variance Engine'!C10),"0.0%")&amp;IF('Variance Engine'!C10&gt;=0," above"," below")&amp;" budget."</x:f>
        <x:v>Revenue was 4.0% above budget.</x:v>
      </x:c>
      <x:c r="C10" s="51" t="str">
        <x:f>"EBITDA was "&amp;TEXT(ABS('Variance Engine'!E10),"0.0%")&amp;IF('Variance Engine'!E10&gt;=0," above"," below")&amp;" budget."</x:f>
        <x:v>EBITDA was 8.7% above budget.</x:v>
      </x:c>
      <x:c r="D10" s="51" t="str">
        <x:f>'Exception Flags'!F10</x:f>
        <x:v>High</x:v>
      </x:c>
      <x:c r="E10" s="51" t="str">
        <x:f>IF(D10="High","Explain both revenue and margin drivers.",IF(D10="Medium","Explain the material variance and corrective action.","Summarize performance and monitor trend."))</x:f>
        <x:v>Explain both revenue and margin drivers.</x:v>
      </x:c>
      <x:c r="F10" s="51" t="str">
        <x:f>"Prepare concise monthly management commentary. "&amp;B10&amp;" "&amp;C10&amp;" Priority: "&amp;D10&amp;". Focus: "&amp;E10</x:f>
        <x:v>Prepare concise monthly management commentary. Revenue was 4.0% above budget. EBITDA was 8.7% above budget. Priority: High. Focus: Explain both revenue and margin drivers.</x:v>
      </x:c>
    </x:row>
    <x:row r="11">
      <x:c r="A11" s="50" t="n">
        <x:f>'Variance Engine'!A11</x:f>
        <x:v>46235</x:v>
      </x:c>
      <x:c r="B11" s="51" t="str">
        <x:f>"Revenue was "&amp;TEXT(ABS('Variance Engine'!C11),"0.0%")&amp;IF('Variance Engine'!C11&gt;=0," above"," below")&amp;" budget."</x:f>
        <x:v>Revenue was 4.0% below budget.</x:v>
      </x:c>
      <x:c r="C11" s="51" t="str">
        <x:f>"EBITDA was "&amp;TEXT(ABS('Variance Engine'!E11),"0.0%")&amp;IF('Variance Engine'!E11&gt;=0," above"," below")&amp;" budget."</x:f>
        <x:v>EBITDA was 13.6% below budget.</x:v>
      </x:c>
      <x:c r="D11" s="51" t="str">
        <x:f>'Exception Flags'!F11</x:f>
        <x:v>High</x:v>
      </x:c>
      <x:c r="E11" s="51" t="str">
        <x:f>IF(D11="High","Explain both revenue and margin drivers.",IF(D11="Medium","Explain the material variance and corrective action.","Summarize performance and monitor trend."))</x:f>
        <x:v>Explain both revenue and margin drivers.</x:v>
      </x:c>
      <x:c r="F11" s="51" t="str">
        <x:f>"Prepare concise monthly management commentary. "&amp;B11&amp;" "&amp;C11&amp;" Priority: "&amp;D11&amp;". Focus: "&amp;E11</x:f>
        <x:v>Prepare concise monthly management commentary. Revenue was 4.0% below budget. EBITDA was 13.6% below budget. Priority: High. Focus: Explain both revenue and margin drivers.</x:v>
      </x:c>
    </x:row>
    <x:row r="12">
      <x:c r="A12" s="50" t="n">
        <x:f>'Variance Engine'!A12</x:f>
        <x:v>46266</x:v>
      </x:c>
      <x:c r="B12" s="51" t="str">
        <x:f>"Revenue was "&amp;TEXT(ABS('Variance Engine'!C12),"0.0%")&amp;IF('Variance Engine'!C12&gt;=0," above"," below")&amp;" budget."</x:f>
        <x:v>Revenue was 2.0% above budget.</x:v>
      </x:c>
      <x:c r="C12" s="51" t="str">
        <x:f>"EBITDA was "&amp;TEXT(ABS('Variance Engine'!E12),"0.0%")&amp;IF('Variance Engine'!E12&gt;=0," above"," below")&amp;" budget."</x:f>
        <x:v>EBITDA was 4.5% above budget.</x:v>
      </x:c>
      <x:c r="D12" s="51" t="str">
        <x:f>'Exception Flags'!F12</x:f>
        <x:v>Normal</x:v>
      </x:c>
      <x:c r="E12" s="51" t="str">
        <x:f>IF(D12="High","Explain both revenue and margin drivers.",IF(D12="Medium","Explain the material variance and corrective action.","Summarize performance and monitor trend."))</x:f>
        <x:v>Summarize performance and monitor trend.</x:v>
      </x:c>
      <x:c r="F12" s="51" t="str">
        <x:f>"Prepare concise monthly management commentary. "&amp;B12&amp;" "&amp;C12&amp;" Priority: "&amp;D12&amp;". Focus: "&amp;E12</x:f>
        <x:v>Prepare concise monthly management commentary. Revenue was 2.0% above budget. EBITDA was 4.5% above budget. Priority: Normal. Focus: Summarize performance and monitor trend.</x:v>
      </x:c>
    </x:row>
    <x:row r="13">
      <x:c r="A13" s="50" t="n">
        <x:f>'Variance Engine'!A13</x:f>
        <x:v>46296</x:v>
      </x:c>
      <x:c r="B13" s="51" t="str">
        <x:f>"Revenue was "&amp;TEXT(ABS('Variance Engine'!C13),"0.0%")&amp;IF('Variance Engine'!C13&gt;=0," above"," below")&amp;" budget."</x:f>
        <x:v>Revenue was 5.0% above budget.</x:v>
      </x:c>
      <x:c r="C13" s="51" t="str">
        <x:f>"EBITDA was "&amp;TEXT(ABS('Variance Engine'!E13),"0.0%")&amp;IF('Variance Engine'!E13&gt;=0," above"," below")&amp;" budget."</x:f>
        <x:v>EBITDA was 11.3% above budget.</x:v>
      </x:c>
      <x:c r="D13" s="51" t="str">
        <x:f>'Exception Flags'!F13</x:f>
        <x:v>High</x:v>
      </x:c>
      <x:c r="E13" s="51" t="str">
        <x:f>IF(D13="High","Explain both revenue and margin drivers.",IF(D13="Medium","Explain the material variance and corrective action.","Summarize performance and monitor trend."))</x:f>
        <x:v>Explain both revenue and margin drivers.</x:v>
      </x:c>
      <x:c r="F13" s="51" t="str">
        <x:f>"Prepare concise monthly management commentary. "&amp;B13&amp;" "&amp;C13&amp;" Priority: "&amp;D13&amp;". Focus: "&amp;E13</x:f>
        <x:v>Prepare concise monthly management commentary. Revenue was 5.0% above budget. EBITDA was 11.3% above budget. Priority: High. Focus: Explain both revenue and margin drivers.</x:v>
      </x:c>
    </x:row>
    <x:row r="14">
      <x:c r="A14" s="50" t="n">
        <x:f>'Variance Engine'!A14</x:f>
        <x:v>46327</x:v>
      </x:c>
      <x:c r="B14" s="51" t="str">
        <x:f>"Revenue was "&amp;TEXT(ABS('Variance Engine'!C14),"0.0%")&amp;IF('Variance Engine'!C14&gt;=0," above"," below")&amp;" budget."</x:f>
        <x:v>Revenue was 1.0% below budget.</x:v>
      </x:c>
      <x:c r="C14" s="51" t="str">
        <x:f>"EBITDA was "&amp;TEXT(ABS('Variance Engine'!E14),"0.0%")&amp;IF('Variance Engine'!E14&gt;=0," above"," below")&amp;" budget."</x:f>
        <x:v>EBITDA was 4.5% below budget.</x:v>
      </x:c>
      <x:c r="D14" s="51" t="str">
        <x:f>'Exception Flags'!F14</x:f>
        <x:v>Normal</x:v>
      </x:c>
      <x:c r="E14" s="51" t="str">
        <x:f>IF(D14="High","Explain both revenue and margin drivers.",IF(D14="Medium","Explain the material variance and corrective action.","Summarize performance and monitor trend."))</x:f>
        <x:v>Summarize performance and monitor trend.</x:v>
      </x:c>
      <x:c r="F14" s="51" t="str">
        <x:f>"Prepare concise monthly management commentary. "&amp;B14&amp;" "&amp;C14&amp;" Priority: "&amp;D14&amp;". Focus: "&amp;E14</x:f>
        <x:v>Prepare concise monthly management commentary. Revenue was 1.0% below budget. EBITDA was 4.5% below budget. Priority: Normal. Focus: Summarize performance and monitor trend.</x:v>
      </x:c>
    </x:row>
    <x:row r="15">
      <x:c r="A15" s="50" t="n">
        <x:f>'Variance Engine'!A15</x:f>
        <x:v>46357</x:v>
      </x:c>
      <x:c r="B15" s="51" t="str">
        <x:f>"Revenue was "&amp;TEXT(ABS('Variance Engine'!C15),"0.0%")&amp;IF('Variance Engine'!C15&gt;=0," above"," below")&amp;" budget."</x:f>
        <x:v>Revenue was 3.0% above budget.</x:v>
      </x:c>
      <x:c r="C15" s="51" t="str">
        <x:f>"EBITDA was "&amp;TEXT(ABS('Variance Engine'!E15),"0.0%")&amp;IF('Variance Engine'!E15&gt;=0," above"," below")&amp;" budget."</x:f>
        <x:v>EBITDA was 8.2% above budget.</x:v>
      </x:c>
      <x:c r="D15" s="51" t="str">
        <x:f>'Exception Flags'!F15</x:f>
        <x:v>High</x:v>
      </x:c>
      <x:c r="E15" s="51" t="str">
        <x:f>IF(D15="High","Explain both revenue and margin drivers.",IF(D15="Medium","Explain the material variance and corrective action.","Summarize performance and monitor trend."))</x:f>
        <x:v>Explain both revenue and margin drivers.</x:v>
      </x:c>
      <x:c r="F15" s="51" t="str">
        <x:f>"Prepare concise monthly management commentary. "&amp;B15&amp;" "&amp;C15&amp;" Priority: "&amp;D15&amp;". Focus: "&amp;E15</x:f>
        <x:v>Prepare concise monthly management commentary. Revenue was 3.0% above budget. EBITDA was 8.2% above budget. Priority: High. Focus: Explain both revenue and margin drivers.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de88370de6c456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56" t="str">
        <x:v>Automated FP&amp;A Management Reporting Dashboard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</x:row>
    <x:row r="2">
      <x:c r="A2" s="56"/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</x:row>
    <x:row r="3">
      <x:c r="A3" s="62" t="str">
        <x:v>Formula-driven variance detection • forecast signals • structured management commentary</x:v>
      </x:c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</x:row>
    <x:row r="4">
      <x:c r="A4" s="66" t="str">
        <x:v>Annual Actual Revenue</x:v>
      </x:c>
      <x:c r="B4" s="66"/>
      <x:c r="C4" s="66"/>
      <x:c r="D4" s="66" t="str">
        <x:v>Annual Actual EBITDA</x:v>
      </x:c>
      <x:c r="E4" s="66"/>
      <x:c r="F4" s="66"/>
      <x:c r="G4" s="66" t="str">
        <x:v>Revenue vs Budget</x:v>
      </x:c>
      <x:c r="H4" s="66"/>
      <x:c r="I4" s="66"/>
      <x:c r="J4" s="66" t="str">
        <x:v>High-Priority Months</x:v>
      </x:c>
      <x:c r="K4" s="66"/>
      <x:c r="L4" s="66"/>
    </x:row>
    <x:row r="5">
      <x:c r="A5" s="124" t="n">
        <x:f>SUM('Monthly Data'!C4:C15)</x:f>
        <x:v>26164902.392712675</x:v>
      </x:c>
      <x:c r="B5" s="88"/>
      <x:c r="C5" s="89"/>
      <x:c r="D5" s="124" t="n">
        <x:f>SUM('Monthly Data'!I4:I15)</x:f>
        <x:v>5196208.722621811</x:v>
      </x:c>
      <x:c r="E5" s="88"/>
      <x:c r="F5" s="89"/>
      <x:c r="G5" s="126" t="n">
        <x:f>IFERROR((SUM('Monthly Data'!C4:C15)-SUM('Monthly Data'!B4:B15))/SUM('Monthly Data'!B4:B15),0)</x:f>
        <x:v>0.0031622649326908574</x:v>
      </x:c>
      <x:c r="H5" s="88"/>
      <x:c r="I5" s="89"/>
      <x:c r="J5" s="128" t="n">
        <x:f>COUNTIF('Exception Flags'!F4:F15,"High")</x:f>
        <x:v>7</x:v>
      </x:c>
      <x:c r="K5" s="88"/>
      <x:c r="L5" s="89"/>
    </x:row>
    <x:row r="6">
      <x:c r="A6" s="90"/>
      <x:c r="B6" s="91"/>
      <x:c r="C6" s="92"/>
      <x:c r="D6" s="90"/>
      <x:c r="E6" s="91"/>
      <x:c r="F6" s="92"/>
      <x:c r="G6" s="90"/>
      <x:c r="H6" s="91"/>
      <x:c r="I6" s="92"/>
      <x:c r="J6" s="90"/>
      <x:c r="K6" s="91"/>
      <x:c r="L6" s="92"/>
    </x:row>
    <x:row r="7">
      <x:c r="A7" s="93"/>
      <x:c r="B7" s="94"/>
      <x:c r="C7" s="95"/>
      <x:c r="D7" s="93"/>
      <x:c r="E7" s="94"/>
      <x:c r="F7" s="95"/>
      <x:c r="G7" s="93"/>
      <x:c r="H7" s="94"/>
      <x:c r="I7" s="95"/>
      <x:c r="J7" s="93"/>
      <x:c r="K7" s="94"/>
      <x:c r="L7" s="95"/>
    </x:row>
    <x:row r="10">
      <x:c r="A10" s="14" t="str">
        <x:v>Month</x:v>
      </x:c>
      <x:c r="B10" s="14" t="str">
        <x:v>Revenue Var %</x:v>
      </x:c>
      <x:c r="C10" s="14" t="str">
        <x:v>EBITDA Var %</x:v>
      </x:c>
    </x:row>
    <x:row r="11">
      <x:c r="A11" s="132" t="n">
        <x:f>'Variance Engine'!A4</x:f>
        <x:v>46023</x:v>
      </x:c>
      <x:c r="B11" s="45" t="n">
        <x:f>'Variance Engine'!C4</x:f>
        <x:v>-0.03</x:v>
      </x:c>
      <x:c r="C11" s="45" t="n">
        <x:f>'Variance Engine'!E4</x:f>
        <x:v>-0.07365</x:v>
      </x:c>
    </x:row>
    <x:row r="12">
      <x:c r="A12" s="132" t="n">
        <x:f>'Variance Engine'!A5</x:f>
        <x:v>46054</x:v>
      </x:c>
      <x:c r="B12" s="45" t="n">
        <x:f>'Variance Engine'!C5</x:f>
        <x:v>0.010000000000000002</x:v>
      </x:c>
      <x:c r="C12" s="45" t="n">
        <x:f>'Variance Engine'!E5</x:f>
        <x:v>0.025149999999999926</x:v>
      </x:c>
    </x:row>
    <x:row r="13">
      <x:c r="A13" s="132" t="n">
        <x:f>'Variance Engine'!A6</x:f>
        <x:v>46082</x:v>
      </x:c>
      <x:c r="B13" s="45" t="n">
        <x:f>'Variance Engine'!C6</x:f>
        <x:v>-0.05000000000000001</x:v>
      </x:c>
      <x:c r="C13" s="45" t="n">
        <x:f>'Variance Engine'!E6</x:f>
        <x:v>-0.1355000000000002</x:v>
      </x:c>
    </x:row>
    <x:row r="14">
      <x:c r="A14" s="132" t="n">
        <x:f>'Variance Engine'!A7</x:f>
        <x:v>46113</x:v>
      </x:c>
      <x:c r="B14" s="45" t="n">
        <x:f>'Variance Engine'!C7</x:f>
        <x:v>0.02999999999999996</x:v>
      </x:c>
      <x:c r="C14" s="45" t="n">
        <x:f>'Variance Engine'!E7</x:f>
        <x:v>0.07635000000000003</x:v>
      </x:c>
    </x:row>
    <x:row r="15">
      <x:c r="A15" s="132" t="n">
        <x:f>'Variance Engine'!A8</x:f>
        <x:v>46143</x:v>
      </x:c>
      <x:c r="B15" s="45" t="n">
        <x:f>'Variance Engine'!C8</x:f>
        <x:v>0</x:v>
      </x:c>
      <x:c r="C15" s="45" t="n">
        <x:f>'Variance Engine'!E8</x:f>
        <x:v>-0.024999999999999797</x:v>
      </x:c>
    </x:row>
    <x:row r="16">
      <x:c r="A16" s="132" t="n">
        <x:f>'Variance Engine'!A9</x:f>
        <x:v>46174</x:v>
      </x:c>
      <x:c r="B16" s="45" t="n">
        <x:f>'Variance Engine'!C9</x:f>
        <x:v>-0.020000000000000108</x:v>
      </x:c>
      <x:c r="C16" s="45" t="n">
        <x:f>'Variance Engine'!E9</x:f>
        <x:v>-0.07880000000000041</x:v>
      </x:c>
    </x:row>
    <x:row r="17">
      <x:c r="A17" s="132" t="n">
        <x:f>'Variance Engine'!A10</x:f>
        <x:v>46204</x:v>
      </x:c>
      <x:c r="B17" s="45" t="n">
        <x:f>'Variance Engine'!C10</x:f>
        <x:v>0.04000000000000014</x:v>
      </x:c>
      <x:c r="C17" s="45" t="n">
        <x:f>'Variance Engine'!E10</x:f>
        <x:v>0.08680000000000032</x:v>
      </x:c>
    </x:row>
    <x:row r="18">
      <x:c r="A18" s="132" t="n">
        <x:f>'Variance Engine'!A11</x:f>
        <x:v>46235</x:v>
      </x:c>
      <x:c r="B18" s="45" t="n">
        <x:f>'Variance Engine'!C11</x:f>
        <x:v>-0.04000000000000012</x:v>
      </x:c>
      <x:c r="C18" s="45" t="n">
        <x:f>'Variance Engine'!E11</x:f>
        <x:v>-0.13600000000000026</x:v>
      </x:c>
    </x:row>
    <x:row r="19">
      <x:c r="A19" s="132" t="n">
        <x:f>'Variance Engine'!A12</x:f>
        <x:v>46266</x:v>
      </x:c>
      <x:c r="B19" s="45" t="n">
        <x:f>'Variance Engine'!C12</x:f>
        <x:v>0.020000000000000052</x:v>
      </x:c>
      <x:c r="C19" s="45" t="n">
        <x:f>'Variance Engine'!E12</x:f>
        <x:v>0.04549999999999984</x:v>
      </x:c>
    </x:row>
    <x:row r="20">
      <x:c r="A20" s="132" t="n">
        <x:f>'Variance Engine'!A13</x:f>
        <x:v>46296</x:v>
      </x:c>
      <x:c r="B20" s="45" t="n">
        <x:f>'Variance Engine'!C13</x:f>
        <x:v>0.05000000000000014</x:v>
      </x:c>
      <x:c r="C20" s="45" t="n">
        <x:f>'Variance Engine'!E13</x:f>
        <x:v>0.11300000000000035</x:v>
      </x:c>
    </x:row>
    <x:row r="21">
      <x:c r="A21" s="132" t="n">
        <x:f>'Variance Engine'!A14</x:f>
        <x:v>46327</x:v>
      </x:c>
      <x:c r="B21" s="45" t="n">
        <x:f>'Variance Engine'!C14</x:f>
        <x:v>-0.010000000000000054</x:v>
      </x:c>
      <x:c r="C21" s="45" t="n">
        <x:f>'Variance Engine'!E14</x:f>
        <x:v>-0.04465000000000031</x:v>
      </x:c>
    </x:row>
    <x:row r="22">
      <x:c r="A22" s="132" t="n">
        <x:f>'Variance Engine'!A15</x:f>
        <x:v>46357</x:v>
      </x:c>
      <x:c r="B22" s="45" t="n">
        <x:f>'Variance Engine'!C15</x:f>
        <x:v>0.029999999999999936</x:v>
      </x:c>
      <x:c r="C22" s="45" t="n">
        <x:f>'Variance Engine'!E15</x:f>
        <x:v>0.08150000000000017</x:v>
      </x:c>
    </x:row>
    <x:row r="25">
      <x:c r="A25" s="14" t="str">
        <x:v>Metric</x:v>
      </x:c>
      <x:c r="B25" s="14" t="str">
        <x:v>Formula / Logic</x:v>
      </x:c>
      <x:c r="C25" s="14" t="str">
        <x:v>Why It Matters</x:v>
      </x:c>
      <x:c r="D25" s="14" t="str">
        <x:v>Analyst Review</x:v>
      </x:c>
    </x:row>
    <x:row r="26">
      <x:c r="A26" s="134" t="str">
        <x:v>Revenue Alert</x:v>
      </x:c>
      <x:c r="B26" s="134" t="str">
        <x:v>ABS(Revenue Var %) ≥ threshold</x:v>
      </x:c>
      <x:c r="C26" s="134" t="str">
        <x:v>Surfaces material top-line exceptions</x:v>
      </x:c>
      <x:c r="D26" s="134" t="str">
        <x:v>Validate drivers</x:v>
      </x:c>
    </x:row>
    <x:row r="27">
      <x:c r="A27" s="134" t="str">
        <x:v>EBITDA Alert</x:v>
      </x:c>
      <x:c r="B27" s="134" t="str">
        <x:v>ABS(EBITDA Var %) ≥ threshold</x:v>
      </x:c>
      <x:c r="C27" s="134" t="str">
        <x:v>Surfaces profitability exceptions</x:v>
      </x:c>
      <x:c r="D27" s="134" t="str">
        <x:v>Review price, cost, and mix</x:v>
      </x:c>
    </x:row>
    <x:row r="28">
      <x:c r="A28" s="134" t="str">
        <x:v>Priority</x:v>
      </x:c>
      <x:c r="B28" s="134" t="str">
        <x:v>Both alerts = High</x:v>
      </x:c>
      <x:c r="C28" s="134" t="str">
        <x:v>Creates a focused review queue</x:v>
      </x:c>
      <x:c r="D28" s="134" t="str">
        <x:v>Confirm materiality</x:v>
      </x:c>
    </x:row>
    <x:row r="29">
      <x:c r="A29" s="134" t="str">
        <x:v>Commentary Input</x:v>
      </x:c>
      <x:c r="B29" s="134" t="str">
        <x:v>Variance + priority + focus</x:v>
      </x:c>
      <x:c r="C29" s="134" t="str">
        <x:v>Structures monthly reporting narrative</x:v>
      </x:c>
      <x:c r="D29" s="134" t="str">
        <x:v>Review and approve wording</x:v>
      </x:c>
    </x:row>
    <x:row r="32">
      <x:c r="A32" s="32" t="str">
        <x:v>Portfolio Workflow</x:v>
      </x:c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</x:row>
    <x:row r="33">
      <x:c r="A33" s="137" t="str">
        <x:v>1) Finance inputs and actuals feed the model → 2) formulas calculate variances and forecasts → 3) threshold logic identifies exceptions → 4) structured commentary organizes the reporting narrative → 5) analyst reviews business context before management reporting.</x:v>
      </x:c>
      <x:c r="B33" s="137"/>
      <x:c r="C33" s="137"/>
      <x:c r="D33" s="137"/>
      <x:c r="E33" s="137"/>
      <x:c r="F33" s="137"/>
      <x:c r="G33" s="137"/>
      <x:c r="H33" s="137"/>
      <x:c r="I33" s="137"/>
      <x:c r="J33" s="137"/>
      <x:c r="K33" s="137"/>
      <x:c r="L33" s="137"/>
    </x:row>
    <x:row r="34">
      <x:c r="A34" s="137"/>
      <x:c r="B34" s="137"/>
      <x:c r="C34" s="137"/>
      <x:c r="D34" s="137"/>
      <x:c r="E34" s="137"/>
      <x:c r="F34" s="137"/>
      <x:c r="G34" s="137"/>
      <x:c r="H34" s="137"/>
      <x:c r="I34" s="137"/>
      <x:c r="J34" s="137"/>
      <x:c r="K34" s="137"/>
      <x:c r="L34" s="137"/>
    </x:row>
    <x:row r="35">
      <x:c r="A35" s="137"/>
      <x:c r="B35" s="137"/>
      <x:c r="C35" s="137"/>
      <x:c r="D35" s="137"/>
      <x:c r="E35" s="137"/>
      <x:c r="F35" s="137"/>
      <x:c r="G35" s="137"/>
      <x:c r="H35" s="137"/>
      <x:c r="I35" s="137"/>
      <x:c r="J35" s="137"/>
      <x:c r="K35" s="137"/>
      <x:c r="L35" s="137"/>
    </x:row>
    <x:row r="36">
      <x:c r="A36" s="137"/>
      <x:c r="B36" s="137"/>
      <x:c r="C36" s="137"/>
      <x:c r="D36" s="137"/>
      <x:c r="E36" s="137"/>
      <x:c r="F36" s="137"/>
      <x:c r="G36" s="137"/>
      <x:c r="H36" s="137"/>
      <x:c r="I36" s="137"/>
      <x:c r="J36" s="137"/>
      <x:c r="K36" s="137"/>
      <x:c r="L36" s="137"/>
    </x:row>
  </x:sheetData>
  <x:mergeCells>
    <x:mergeCell ref="A1:L2"/>
    <x:mergeCell ref="A3:L3"/>
    <x:mergeCell ref="A4:C4"/>
    <x:mergeCell ref="D4:F4"/>
    <x:mergeCell ref="G4:I4"/>
    <x:mergeCell ref="J4:L4"/>
    <x:mergeCell ref="A5:C7"/>
    <x:mergeCell ref="D5:F7"/>
    <x:mergeCell ref="G5:I7"/>
    <x:mergeCell ref="J5:L7"/>
    <x:mergeCell ref="A32:L32"/>
    <x:mergeCell ref="A33:L36"/>
  </x:mergeCells>
  <x:pageMargins left="0.7" right="0.7" top="0.75" bottom="0.75" header="0.3" footer="0.3"/>
  <x:drawing xmlns:r="http://schemas.openxmlformats.org/officeDocument/2006/relationships" r:id="R817d33be52844386"/>
</x:worksheet>
</file>