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c80e1f0e9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f1fb316a7a54298"/>
    <x:sheet xmlns:r="http://schemas.openxmlformats.org/officeDocument/2006/relationships" name="Raw Data" sheetId="2" r:id="R612e4c0bd8fc4e80"/>
    <x:sheet xmlns:r="http://schemas.openxmlformats.org/officeDocument/2006/relationships" name="Budget vs Actual" sheetId="3" r:id="R12968a851c964651"/>
    <x:sheet xmlns:r="http://schemas.openxmlformats.org/officeDocument/2006/relationships" name="Forecast" sheetId="4" r:id="R1e972b9deeae4b51"/>
    <x:sheet xmlns:r="http://schemas.openxmlformats.org/officeDocument/2006/relationships" name="Variance Analysis" sheetId="5" r:id="Rab113e0acd61466c"/>
    <x:sheet xmlns:r="http://schemas.openxmlformats.org/officeDocument/2006/relationships" name="KPI Summary" sheetId="6" r:id="Rf06f17e486ce45c5"/>
    <x:sheet xmlns:r="http://schemas.openxmlformats.org/officeDocument/2006/relationships" name="Dashboard" sheetId="7" r:id="Rabb662ad07c2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%;[Red](0.0%);-"/>
    <x:numFmt numFmtId="202" formatCode="mmm-yy"/>
    <x:numFmt numFmtId="203" formatCode="mmm"/>
    <x:numFmt numFmtId="204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20"/>
      <x:color rgb="FFFFFFFF"/>
      <x:name val="Carlito"/>
    </x:font>
    <x:font>
      <x:i/>
      <x:sz val="11"/>
      <x:color rgb="FF555555"/>
      <x:name val="Carlito"/>
    </x:font>
    <x:font>
      <x:b/>
      <x:sz val="16"/>
      <x:color rgb="FF008000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2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/>
    </x:xf>
    <x:xf numFmtId="0" fontId="9" fillId="6" borderId="4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/>
    </x:xf>
    <x:xf numFmtId="0" fontId="9" fillId="6" borderId="9" xfId="0" applyNumberFormat="1" applyFont="1" applyFill="1" applyBorder="1" applyAlignment="1">
      <x:alignment horizontal="center"/>
    </x:xf>
    <x:xf numFmtId="0" fontId="9" fillId="6" borderId="2" xfId="0" applyNumberFormat="1" applyFont="1" applyFill="1" applyBorder="1" applyAlignment="1">
      <x:alignment horizontal="center" vertic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0" xfId="0" applyNumberFormat="1" applyFont="1" applyFill="1" applyBorder="1" applyAlignment="1">
      <x:alignment horizontal="center"/>
    </x:xf>
    <x:xf numFmtId="0" fontId="9" fillId="6" borderId="11" xfId="0" applyNumberFormat="1" applyFont="1" applyFill="1" applyBorder="1" applyAlignment="1">
      <x:alignment horizontal="center"/>
    </x:xf>
    <x:xf numFmtId="0" fontId="9" fillId="6" borderId="12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14" xfId="0" applyNumberFormat="1" applyFont="1" applyFill="1" applyBorder="1" applyAlignment="1">
      <x:alignment horizontal="center"/>
    </x:xf>
    <x:xf numFmtId="0" fontId="9" fillId="6" borderId="15" xfId="0" applyNumberFormat="1" applyFont="1" applyFill="1" applyBorder="1" applyAlignment="1">
      <x:alignment horizontal="center"/>
    </x:xf>
    <x:xf numFmtId="0" fontId="9" fillId="6" borderId="16" xfId="0" applyNumberFormat="1" applyFont="1" applyFill="1" applyBorder="1" applyAlignment="1">
      <x:alignment horizontal="center"/>
    </x:xf>
    <x:xf numFmtId="0" fontId="9" fillId="6" borderId="17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9" fillId="6" borderId="15" xfId="0" applyNumberFormat="1" applyFont="1" applyFill="1" applyBorder="1" applyAlignment="1">
      <x:alignment horizontal="center" vertical="center"/>
    </x:xf>
    <x:xf numFmtId="0" fontId="9" fillId="6" borderId="16" xfId="0" applyNumberFormat="1" applyFont="1" applyFill="1" applyBorder="1" applyAlignment="1">
      <x:alignment horizontal="center" vertical="center"/>
    </x:xf>
    <x:xf numFmtId="0" fontId="9" fillId="6" borderId="17" xfId="0" applyNumberFormat="1" applyFont="1" applyFill="1" applyBorder="1" applyAlignment="1">
      <x:alignment horizontal="center" vertical="center"/>
    </x:xf>
    <x:xf numFmtId="200" fontId="9" fillId="6" borderId="2" xfId="0" applyNumberFormat="1" applyFont="1" applyFill="1" applyBorder="1" applyAlignment="1">
      <x:alignment horizontal="center" vertical="center"/>
    </x:xf>
    <x:xf numFmtId="200" fontId="9" fillId="6" borderId="10" xfId="0" applyNumberFormat="1" applyFont="1" applyFill="1" applyBorder="1" applyAlignment="1">
      <x:alignment horizontal="center" vertical="center"/>
    </x:xf>
    <x:xf numFmtId="201" fontId="9" fillId="6" borderId="2" xfId="0" applyNumberFormat="1" applyFont="1" applyFill="1" applyBorder="1" applyAlignment="1">
      <x:alignment horizontal="center" vertical="center"/>
    </x:xf>
    <x:xf numFmtId="201" fontId="9" fillId="6" borderId="1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3" fillId="0" borderId="0" xfId="0" applyNumberFormat="1" applyFont="1" applyFill="1" applyBorder="1"/>
    <x:xf numFmtId="204" fontId="3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bf574ae384358" /><Relationship Type="http://schemas.openxmlformats.org/officeDocument/2006/relationships/theme" Target="/xl/theme/theme1.xml" Id="Ra5fe4bee49204364" /><Relationship Type="http://schemas.openxmlformats.org/officeDocument/2006/relationships/sharedStrings" Target="/xl/sharedStrings.xml" Id="Re992e36ee63f4823" /><Relationship Type="http://schemas.openxmlformats.org/officeDocument/2006/relationships/worksheet" Target="/xl/worksheets/sheet1.xml" Id="R8f1fb316a7a54298" /><Relationship Type="http://schemas.openxmlformats.org/officeDocument/2006/relationships/worksheet" Target="/xl/worksheets/sheet2.xml" Id="R612e4c0bd8fc4e80" /><Relationship Type="http://schemas.openxmlformats.org/officeDocument/2006/relationships/worksheet" Target="/xl/worksheets/sheet3.xml" Id="R12968a851c964651" /><Relationship Type="http://schemas.openxmlformats.org/officeDocument/2006/relationships/worksheet" Target="/xl/worksheets/sheet4.xml" Id="R1e972b9deeae4b51" /><Relationship Type="http://schemas.openxmlformats.org/officeDocument/2006/relationships/worksheet" Target="/xl/worksheets/sheet5.xml" Id="Rab113e0acd61466c" /><Relationship Type="http://schemas.openxmlformats.org/officeDocument/2006/relationships/worksheet" Target="/xl/worksheets/sheet6.xml" Id="Rf06f17e486ce45c5" /><Relationship Type="http://schemas.openxmlformats.org/officeDocument/2006/relationships/worksheet" Target="/xl/worksheets/sheet7.xml" Id="Rabb662ad07c24e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b68cf359774ed8" /><Relationship Type="http://schemas.openxmlformats.org/officeDocument/2006/relationships/chart" Target="/xl/drawings/charts/chart2.xml" Id="R471ed178043a40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Revenue: Budget vs Actual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Actual Revenue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EBITDA: Budget vs Actual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Budget EBITDA</c:v>
          </c:tx>
          <c:cat>
            <c:strRef>
              <c:f>'Dashboard'!$A$26:$A$37</c:f>
              <c:strCache>
                <c:ptCount val="0"/>
              </c:strCache>
            </c:strRef>
          </c:cat>
          <c:val>
            <c:numRef>
              <c:f>'Dashboard'!$B$26:$B$37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Actual EBITDA</c:v>
          </c:tx>
          <c:cat>
            <c:strRef>
              <c:f>'Dashboard'!$A$26:$A$37</c:f>
              <c:strCache>
                <c:ptCount val="0"/>
              </c:strCache>
            </c:strRef>
          </c:cat>
          <c:val>
            <c:numRef>
              <c:f>'Dashboard'!$C$26:$C$37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b68cf359774ed8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1ed178043a40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FinancialData" displayName="RawFinancialData" ref="A3:N15" headerRowCount="1" totalsRowCount="0" totalsRowShown="0">
  <x:tableColumns count="14">
    <x:tableColumn id="1" name="Month"/>
    <x:tableColumn id="2" name="Budget Revenue"/>
    <x:tableColumn id="3" name="Actual Revenue"/>
    <x:tableColumn id="4" name="Budget COGS"/>
    <x:tableColumn id="5" name="Actual COGS"/>
    <x:tableColumn id="6" name="Budget Gross Profit"/>
    <x:tableColumn id="7" name="Actual Gross Profit"/>
    <x:tableColumn id="8" name="Budget OpEx"/>
    <x:tableColumn id="9" name="Actual OpEx"/>
    <x:tableColumn id="10" name="Budget EBITDA"/>
    <x:tableColumn id="11" name="Actual EBITDA"/>
    <x:tableColumn id="12" name="Revenue Var $"/>
    <x:tableColumn id="13" name="Revenue Var %"/>
    <x:tableColumn id="14" name="EBITDA Var $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ecastTable" displayName="ForecastTable" ref="A3:G15" headerRowCount="1" totalsRowCount="0" totalsRowShown="0">
  <x:tableColumns count="7">
    <x:tableColumn id="1" name="Month"/>
    <x:tableColumn id="2" name="Forecast Revenue"/>
    <x:tableColumn id="3" name="Forecast COGS"/>
    <x:tableColumn id="4" name="Forecast Gross Profit"/>
    <x:tableColumn id="5" name="Forecast OpEx"/>
    <x:tableColumn id="6" name="Forecast EBITDA"/>
    <x:tableColumn id="7" name="EBITDA Mar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rianceTable" displayName="VarianceTable" ref="A3:F15" headerRowCount="1" totalsRowCount="0" totalsRowShown="0">
  <x:tableColumns count="6">
    <x:tableColumn id="1" name="Month"/>
    <x:tableColumn id="2" name="Revenue Var $"/>
    <x:tableColumn id="3" name="Revenue Var %"/>
    <x:tableColumn id="4" name="EBITDA Var $"/>
    <x:tableColumn id="5" name="EBITDA Var %"/>
    <x:tableColumn id="6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fd1476ec5e4c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0341efef2df42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9a33ddbf64d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be5c9032349a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FP&amp;A Portfolio Model – Assumptions</x:v>
      </x:c>
      <x:c r="B1" s="5"/>
      <x:c r="C1" s="5"/>
      <x:c r="D1" s="5"/>
      <x:c r="F1" s="137" t="str">
        <x:v>Monthly Operating Drivers</x:v>
      </x:c>
      <x:c r="G1" s="137"/>
      <x:c r="H1" s="137"/>
      <x:c r="I1" s="137"/>
      <x:c r="J1" s="137"/>
    </x:row>
    <x:row r="3">
      <x:c r="A3" s="14" t="str">
        <x:v>Assumption</x:v>
      </x:c>
      <x:c r="B3" s="14" t="str">
        <x:v>Value</x:v>
      </x:c>
      <x:c r="C3" s="14" t="str">
        <x:v>Units</x:v>
      </x:c>
      <x:c r="D3" s="14" t="str">
        <x:v>Notes</x:v>
      </x:c>
      <x:c r="F3" s="140" t="str">
        <x:v>Month</x:v>
      </x:c>
      <x:c r="G3" s="140" t="str">
        <x:v>Seasonality</x:v>
      </x:c>
      <x:c r="H3" s="140" t="str">
        <x:v>Actual Rev Factor</x:v>
      </x:c>
      <x:c r="I3" s="140" t="str">
        <x:v>COGS Shift</x:v>
      </x:c>
      <x:c r="J3" s="140" t="str">
        <x:v>OpEx Shift</x:v>
      </x:c>
    </x:row>
    <x:row r="4">
      <x:c r="A4" t="str">
        <x:v>Starting Monthly Revenue</x:v>
      </x:c>
      <x:c r="B4" s="24" t="n">
        <x:v>1800000</x:v>
      </x:c>
      <x:c r="C4" t="str">
        <x:v>$</x:v>
      </x:c>
      <x:c r="D4" t="str">
        <x:v>Synthetic portfolio company</x:v>
      </x:c>
      <x:c r="F4" s="34" t="n">
        <x:v>46023</x:v>
      </x:c>
      <x:c r="G4" s="143" t="n">
        <x:v>0.96</x:v>
      </x:c>
      <x:c r="H4" s="143" t="n">
        <x:v>0.985</x:v>
      </x:c>
      <x:c r="I4" s="143" t="n">
        <x:v>0.004</x:v>
      </x:c>
      <x:c r="J4" s="143" t="n">
        <x:v>0.003</x:v>
      </x:c>
    </x:row>
    <x:row r="5">
      <x:c r="A5" t="str">
        <x:v>Budget Monthly Growth</x:v>
      </x:c>
      <x:c r="B5" s="26" t="n">
        <x:v>0.018</x:v>
      </x:c>
      <x:c r="C5" t="str">
        <x:v>%</x:v>
      </x:c>
      <x:c r="D5" t="str">
        <x:v>Planning assumption</x:v>
      </x:c>
      <x:c r="F5" s="34" t="n">
        <x:v>46054</x:v>
      </x:c>
      <x:c r="G5" s="143" t="n">
        <x:v>0.98</x:v>
      </x:c>
      <x:c r="H5" s="143" t="n">
        <x:v>1.018</x:v>
      </x:c>
      <x:c r="I5" s="143" t="n">
        <x:v>-0.003</x:v>
      </x:c>
      <x:c r="J5" s="143" t="n">
        <x:v>0.001</x:v>
      </x:c>
    </x:row>
    <x:row r="6">
      <x:c r="A6" t="str">
        <x:v>Actual Revenue Volatility</x:v>
      </x:c>
      <x:c r="B6" s="26" t="n">
        <x:v>0.035</x:v>
      </x:c>
      <x:c r="C6" t="str">
        <x:v>%</x:v>
      </x:c>
      <x:c r="D6" t="str">
        <x:v>Synthetic operating variability</x:v>
      </x:c>
      <x:c r="F6" s="34" t="n">
        <x:v>46082</x:v>
      </x:c>
      <x:c r="G6" s="143" t="n">
        <x:v>1</x:v>
      </x:c>
      <x:c r="H6" s="143" t="n">
        <x:v>0.972</x:v>
      </x:c>
      <x:c r="I6" s="143" t="n">
        <x:v>0.007</x:v>
      </x:c>
      <x:c r="J6" s="143" t="n">
        <x:v>0.006</x:v>
      </x:c>
    </x:row>
    <x:row r="7">
      <x:c r="A7" t="str">
        <x:v>Budget COGS % Revenue</x:v>
      </x:c>
      <x:c r="B7" s="26" t="n">
        <x:v>0.57</x:v>
      </x:c>
      <x:c r="C7" t="str">
        <x:v>%</x:v>
      </x:c>
      <x:c r="D7" t="str">
        <x:v>Planning assumption</x:v>
      </x:c>
      <x:c r="F7" s="34" t="n">
        <x:v>46113</x:v>
      </x:c>
      <x:c r="G7" s="143" t="n">
        <x:v>1.02</x:v>
      </x:c>
      <x:c r="H7" s="143" t="n">
        <x:v>1.026</x:v>
      </x:c>
      <x:c r="I7" s="143" t="n">
        <x:v>-0.005</x:v>
      </x:c>
      <x:c r="J7" s="143" t="n">
        <x:v>-0.002</x:v>
      </x:c>
    </x:row>
    <x:row r="8">
      <x:c r="A8" t="str">
        <x:v>Actual COGS Base %</x:v>
      </x:c>
      <x:c r="B8" s="26" t="n">
        <x:v>0.575</x:v>
      </x:c>
      <x:c r="C8" t="str">
        <x:v>%</x:v>
      </x:c>
      <x:c r="D8" t="str">
        <x:v>Synthetic actual assumption</x:v>
      </x:c>
      <x:c r="F8" s="34" t="n">
        <x:v>46143</x:v>
      </x:c>
      <x:c r="G8" s="143" t="n">
        <x:v>1.01</x:v>
      </x:c>
      <x:c r="H8" s="143" t="n">
        <x:v>1.008</x:v>
      </x:c>
      <x:c r="I8" s="143" t="n">
        <x:v>0.002</x:v>
      </x:c>
      <x:c r="J8" s="143" t="n">
        <x:v>0.004</x:v>
      </x:c>
    </x:row>
    <x:row r="9">
      <x:c r="A9" t="str">
        <x:v>Budget OpEx % Revenue</x:v>
      </x:c>
      <x:c r="B9" s="26" t="n">
        <x:v>0.245</x:v>
      </x:c>
      <x:c r="C9" t="str">
        <x:v>%</x:v>
      </x:c>
      <x:c r="D9" t="str">
        <x:v>Planning assumption</x:v>
      </x:c>
      <x:c r="F9" s="34" t="n">
        <x:v>46174</x:v>
      </x:c>
      <x:c r="G9" s="143" t="n">
        <x:v>1.04</x:v>
      </x:c>
      <x:c r="H9" s="143" t="n">
        <x:v>0.991</x:v>
      </x:c>
      <x:c r="I9" s="143" t="n">
        <x:v>0.006</x:v>
      </x:c>
      <x:c r="J9" s="143" t="n">
        <x:v>0.002</x:v>
      </x:c>
    </x:row>
    <x:row r="10">
      <x:c r="A10" t="str">
        <x:v>Actual OpEx Base %</x:v>
      </x:c>
      <x:c r="B10" s="26" t="n">
        <x:v>0.25</x:v>
      </x:c>
      <x:c r="C10" t="str">
        <x:v>%</x:v>
      </x:c>
      <x:c r="D10" t="str">
        <x:v>Synthetic actual assumption</x:v>
      </x:c>
      <x:c r="F10" s="34" t="n">
        <x:v>46204</x:v>
      </x:c>
      <x:c r="G10" s="143" t="n">
        <x:v>1.03</x:v>
      </x:c>
      <x:c r="H10" s="143" t="n">
        <x:v>1.032</x:v>
      </x:c>
      <x:c r="I10" s="143" t="n">
        <x:v>-0.004</x:v>
      </x:c>
      <x:c r="J10" s="143" t="n">
        <x:v>-0.003</x:v>
      </x:c>
    </x:row>
    <x:row r="11">
      <x:c r="A11" t="str">
        <x:v>Forecast Revenue Growth</x:v>
      </x:c>
      <x:c r="B11" s="26" t="n">
        <x:v>0.022</x:v>
      </x:c>
      <x:c r="C11" t="str">
        <x:v>%</x:v>
      </x:c>
      <x:c r="D11" t="str">
        <x:v>Forward-looking scenario assumption</x:v>
      </x:c>
      <x:c r="F11" s="34" t="n">
        <x:v>46235</x:v>
      </x:c>
      <x:c r="G11" s="143" t="n">
        <x:v>1</x:v>
      </x:c>
      <x:c r="H11" s="143" t="n">
        <x:v>0.968</x:v>
      </x:c>
      <x:c r="I11" s="143" t="n">
        <x:v>0.008</x:v>
      </x:c>
      <x:c r="J11" s="143" t="n">
        <x:v>0.007</x:v>
      </x:c>
    </x:row>
    <x:row r="12">
      <x:c r="A12" t="str">
        <x:v>Forecast COGS % Revenue</x:v>
      </x:c>
      <x:c r="B12" s="26" t="n">
        <x:v>0.565</x:v>
      </x:c>
      <x:c r="C12" t="str">
        <x:v>%</x:v>
      </x:c>
      <x:c r="D12" t="str">
        <x:v>Forward-looking scenario assumption</x:v>
      </x:c>
      <x:c r="F12" s="34" t="n">
        <x:v>46266</x:v>
      </x:c>
      <x:c r="G12" s="143" t="n">
        <x:v>1.05</x:v>
      </x:c>
      <x:c r="H12" s="143" t="n">
        <x:v>1.021</x:v>
      </x:c>
      <x:c r="I12" s="143" t="n">
        <x:v>-0.002</x:v>
      </x:c>
      <x:c r="J12" s="143" t="n">
        <x:v>-0.001</x:v>
      </x:c>
    </x:row>
    <x:row r="13">
      <x:c r="A13" t="str">
        <x:v>Forecast OpEx % Revenue</x:v>
      </x:c>
      <x:c r="B13" s="26" t="n">
        <x:v>0.24</x:v>
      </x:c>
      <x:c r="C13" t="str">
        <x:v>%</x:v>
      </x:c>
      <x:c r="D13" t="str">
        <x:v>Forward-looking scenario assumption</x:v>
      </x:c>
      <x:c r="F13" s="34" t="n">
        <x:v>46296</x:v>
      </x:c>
      <x:c r="G13" s="143" t="n">
        <x:v>1.07</x:v>
      </x:c>
      <x:c r="H13" s="143" t="n">
        <x:v>1.044</x:v>
      </x:c>
      <x:c r="I13" s="143" t="n">
        <x:v>-0.006</x:v>
      </x:c>
      <x:c r="J13" s="143" t="n">
        <x:v>-0.004</x:v>
      </x:c>
    </x:row>
    <x:row r="14">
      <x:c r="F14" s="34" t="n">
        <x:v>46327</x:v>
      </x:c>
      <x:c r="G14" s="143" t="n">
        <x:v>1.09</x:v>
      </x:c>
      <x:c r="H14" s="143" t="n">
        <x:v>0.997</x:v>
      </x:c>
      <x:c r="I14" s="143" t="n">
        <x:v>0.003</x:v>
      </x:c>
      <x:c r="J14" s="143" t="n">
        <x:v>0.002</x:v>
      </x:c>
    </x:row>
    <x:row r="15">
      <x:c r="A15" s="30" t="str">
        <x:v>Model Note</x:v>
      </x:c>
      <x:c r="B15" s="30" t="str"/>
      <x:c r="C15" s="30" t="str"/>
      <x:c r="D15" s="30" t="str"/>
      <x:c r="F15" s="34" t="n">
        <x:v>46357</x:v>
      </x:c>
      <x:c r="G15" s="143" t="n">
        <x:v>1.15</x:v>
      </x:c>
      <x:c r="H15" s="143" t="n">
        <x:v>1.028</x:v>
      </x:c>
      <x:c r="I15" s="143" t="n">
        <x:v>-0.005</x:v>
      </x:c>
      <x:c r="J15" s="143" t="n">
        <x:v>-0.003</x:v>
      </x:c>
    </x:row>
    <x:row r="16">
      <x:c r="A16" t="str">
        <x:v>Data Type</x:v>
      </x:c>
      <x:c r="B16" t="str">
        <x:v>Synthetic</x:v>
      </x:c>
      <x:c r="C16" t="str"/>
      <x:c r="D16" t="str">
        <x:v>Created solely for portfolio demonstration; no employer-confidential data.</x:v>
      </x:c>
    </x:row>
    <x:row r="17">
      <x:c r="A17" t="str">
        <x:v>Purpose</x:v>
      </x:c>
      <x:c r="B17" t="str">
        <x:v>FP&amp;A / Budgeting / Forecasting / Variance Analysis</x:v>
      </x:c>
      <x:c r="C17" t="str"/>
      <x:c r="D17" t="str"/>
    </x:row>
  </x:sheetData>
  <x:mergeCells>
    <x:mergeCell ref="A1:D1"/>
    <x:mergeCell ref="F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5" t="str">
        <x:v>Synthetic Monthly Financial Data ($)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Month</x:v>
      </x:c>
      <x:c r="B3" s="14" t="str">
        <x:v>Budget Revenue</x:v>
      </x:c>
      <x:c r="C3" s="14" t="str">
        <x:v>Actual Revenue</x:v>
      </x:c>
      <x:c r="D3" s="14" t="str">
        <x:v>Budget COGS</x:v>
      </x:c>
      <x:c r="E3" s="14" t="str">
        <x:v>Actual COGS</x:v>
      </x:c>
      <x:c r="F3" s="14" t="str">
        <x:v>Budget Gross Profit</x:v>
      </x:c>
      <x:c r="G3" s="14" t="str">
        <x:v>Actual Gross Profit</x:v>
      </x:c>
      <x:c r="H3" s="14" t="str">
        <x:v>Budget OpEx</x:v>
      </x:c>
      <x:c r="I3" s="14" t="str">
        <x:v>Actual OpEx</x:v>
      </x:c>
      <x:c r="J3" s="14" t="str">
        <x:v>Budget EBITDA</x:v>
      </x:c>
      <x:c r="K3" s="14" t="str">
        <x:v>Actual EBITDA</x:v>
      </x:c>
      <x:c r="L3" s="14" t="str">
        <x:v>Revenue Var $</x:v>
      </x:c>
      <x:c r="M3" s="14" t="str">
        <x:v>Revenue Var %</x:v>
      </x:c>
      <x:c r="N3" s="14" t="str">
        <x:v>EBITDA Var $</x:v>
      </x:c>
    </x:row>
    <x:row r="4">
      <x:c r="A4" s="36" t="n">
        <x:v>46023</x:v>
      </x:c>
      <x:c r="B4" s="46" t="n">
        <x:f>Assumptions!$B$4</x:f>
        <x:v>1800000</x:v>
      </x:c>
      <x:c r="C4" s="46" t="n">
        <x:f>B4*Assumptions!G4*Assumptions!H4</x:f>
        <x:v>1702080</x:v>
      </x:c>
      <x:c r="D4" s="46" t="n">
        <x:f>B4*Assumptions!$B$7</x:f>
        <x:v>1025999.9999999999</x:v>
      </x:c>
      <x:c r="E4" s="46" t="n">
        <x:f>C4*(Assumptions!$B$8+Assumptions!I4)</x:f>
        <x:v>985504.32</x:v>
      </x:c>
      <x:c r="F4" s="42" t="n">
        <x:f>B4-D4</x:f>
        <x:v>774000.0000000001</x:v>
      </x:c>
      <x:c r="G4" s="42" t="n">
        <x:f>C4-E4</x:f>
        <x:v>716575.68</x:v>
      </x:c>
      <x:c r="H4" s="46" t="n">
        <x:f>B4*Assumptions!$B$9</x:f>
        <x:v>441000</x:v>
      </x:c>
      <x:c r="I4" s="46" t="n">
        <x:f>C4*(Assumptions!$B$10+Assumptions!J4)</x:f>
        <x:v>430626.24</x:v>
      </x:c>
      <x:c r="J4" s="42" t="n">
        <x:f>F4-H4</x:f>
        <x:v>333000.0000000001</x:v>
      </x:c>
      <x:c r="K4" s="42" t="n">
        <x:f>G4-I4</x:f>
        <x:v>285949.44000000006</x:v>
      </x:c>
      <x:c r="L4" s="42" t="n">
        <x:f>C4-B4</x:f>
        <x:v>-97920</x:v>
      </x:c>
      <x:c r="M4" s="43" t="n">
        <x:f>IFERROR(L4/B4,0)</x:f>
        <x:v>-0.0544</x:v>
      </x:c>
      <x:c r="N4" s="42" t="n">
        <x:f>K4-J4</x:f>
        <x:v>-47050.560000000056</x:v>
      </x:c>
    </x:row>
    <x:row r="5">
      <x:c r="A5" s="36" t="n">
        <x:v>46054</x:v>
      </x:c>
      <x:c r="B5" s="46" t="n">
        <x:f>B4*(1+Assumptions!$B$5)</x:f>
        <x:v>1832400</x:v>
      </x:c>
      <x:c r="C5" s="46" t="n">
        <x:f>B5*Assumptions!G5*Assumptions!H5</x:f>
        <x:v>1828075.536</x:v>
      </x:c>
      <x:c r="D5" s="46" t="n">
        <x:f>B5*Assumptions!$B$7</x:f>
        <x:v>1044467.9999999999</x:v>
      </x:c>
      <x:c r="E5" s="46" t="n">
        <x:f>C5*(Assumptions!$B$8+Assumptions!I5)</x:f>
        <x:v>1045659.206592</x:v>
      </x:c>
      <x:c r="F5" s="42" t="n">
        <x:f>B5-D5</x:f>
        <x:v>787932.0000000001</x:v>
      </x:c>
      <x:c r="G5" s="42" t="n">
        <x:f>C5-E5</x:f>
        <x:v>782416.3294080001</x:v>
      </x:c>
      <x:c r="H5" s="46" t="n">
        <x:f>B5*Assumptions!$B$9</x:f>
        <x:v>448938</x:v>
      </x:c>
      <x:c r="I5" s="46" t="n">
        <x:f>C5*(Assumptions!$B$10+Assumptions!J5)</x:f>
        <x:v>458846.95953600004</x:v>
      </x:c>
      <x:c r="J5" s="42" t="n">
        <x:f>F5-H5</x:f>
        <x:v>338994.0000000001</x:v>
      </x:c>
      <x:c r="K5" s="42" t="n">
        <x:f>G5-I5</x:f>
        <x:v>323569.36987200007</x:v>
      </x:c>
      <x:c r="L5" s="42" t="n">
        <x:f>C5-B5</x:f>
        <x:v>-4324.46399999992</x:v>
      </x:c>
      <x:c r="M5" s="43" t="n">
        <x:f>IFERROR(L5/B5,0)</x:f>
        <x:v>-0.0023599999999999563</x:v>
      </x:c>
      <x:c r="N5" s="42" t="n">
        <x:f>K5-J5</x:f>
        <x:v>-15424.630128000048</x:v>
      </x:c>
    </x:row>
    <x:row r="6">
      <x:c r="A6" s="36" t="n">
        <x:v>46082</x:v>
      </x:c>
      <x:c r="B6" s="46" t="n">
        <x:f>B5*(1+Assumptions!$B$5)</x:f>
        <x:v>1865383.2</x:v>
      </x:c>
      <x:c r="C6" s="46" t="n">
        <x:f>B6*Assumptions!G6*Assumptions!H6</x:f>
        <x:v>1813152.4704</x:v>
      </x:c>
      <x:c r="D6" s="46" t="n">
        <x:f>B6*Assumptions!$B$7</x:f>
        <x:v>1063268.4239999999</x:v>
      </x:c>
      <x:c r="E6" s="46" t="n">
        <x:f>C6*(Assumptions!$B$8+Assumptions!I6)</x:f>
        <x:v>1055254.7377728</x:v>
      </x:c>
      <x:c r="F6" s="42" t="n">
        <x:f>B6-D6</x:f>
        <x:v>802114.7760000001</x:v>
      </x:c>
      <x:c r="G6" s="42" t="n">
        <x:f>C6-E6</x:f>
        <x:v>757897.7326272</x:v>
      </x:c>
      <x:c r="H6" s="46" t="n">
        <x:f>B6*Assumptions!$B$9</x:f>
        <x:v>457018.88399999996</x:v>
      </x:c>
      <x:c r="I6" s="46" t="n">
        <x:f>C6*(Assumptions!$B$10+Assumptions!J6)</x:f>
        <x:v>464167.0324224</x:v>
      </x:c>
      <x:c r="J6" s="42" t="n">
        <x:f>F6-H6</x:f>
        <x:v>345095.8920000001</x:v>
      </x:c>
      <x:c r="K6" s="42" t="n">
        <x:f>G6-I6</x:f>
        <x:v>293730.70020479994</x:v>
      </x:c>
      <x:c r="L6" s="42" t="n">
        <x:f>C6-B6</x:f>
        <x:v>-52230.72959999996</x:v>
      </x:c>
      <x:c r="M6" s="43" t="n">
        <x:f>IFERROR(L6/B6,0)</x:f>
        <x:v>-0.02799999999999998</x:v>
      </x:c>
      <x:c r="N6" s="42" t="n">
        <x:f>K6-J6</x:f>
        <x:v>-51365.19179520017</x:v>
      </x:c>
    </x:row>
    <x:row r="7">
      <x:c r="A7" s="36" t="n">
        <x:v>46113</x:v>
      </x:c>
      <x:c r="B7" s="46" t="n">
        <x:f>B6*(1+Assumptions!$B$5)</x:f>
        <x:v>1898960.0976</x:v>
      </x:c>
      <x:c r="C7" s="46" t="n">
        <x:f>B7*Assumptions!G7*Assumptions!H7</x:f>
        <x:v>1987299.7213403522</x:v>
      </x:c>
      <x:c r="D7" s="46" t="n">
        <x:f>B7*Assumptions!$B$7</x:f>
        <x:v>1082407.2556319998</x:v>
      </x:c>
      <x:c r="E7" s="46" t="n">
        <x:f>C7*(Assumptions!$B$8+Assumptions!I7)</x:f>
        <x:v>1132760.8411640006</x:v>
      </x:c>
      <x:c r="F7" s="42" t="n">
        <x:f>B7-D7</x:f>
        <x:v>816552.8419680002</x:v>
      </x:c>
      <x:c r="G7" s="42" t="n">
        <x:f>C7-E7</x:f>
        <x:v>854538.8801763516</x:v>
      </x:c>
      <x:c r="H7" s="46" t="n">
        <x:f>B7*Assumptions!$B$9</x:f>
        <x:v>465245.22391199996</x:v>
      </x:c>
      <x:c r="I7" s="46" t="n">
        <x:f>C7*(Assumptions!$B$10+Assumptions!J7)</x:f>
        <x:v>492850.33089240734</x:v>
      </x:c>
      <x:c r="J7" s="42" t="n">
        <x:f>F7-H7</x:f>
        <x:v>351307.6180560002</x:v>
      </x:c>
      <x:c r="K7" s="42" t="n">
        <x:f>G7-I7</x:f>
        <x:v>361688.5492839443</x:v>
      </x:c>
      <x:c r="L7" s="42" t="n">
        <x:f>C7-B7</x:f>
        <x:v>88339.62374035222</x:v>
      </x:c>
      <x:c r="M7" s="43" t="n">
        <x:f>IFERROR(L7/B7,0)</x:f>
        <x:v>0.04652000000000012</x:v>
      </x:c>
      <x:c r="N7" s="42" t="n">
        <x:f>K7-J7</x:f>
        <x:v>10380.931227944093</x:v>
      </x:c>
    </x:row>
    <x:row r="8">
      <x:c r="A8" s="36" t="n">
        <x:v>46143</x:v>
      </x:c>
      <x:c r="B8" s="46" t="n">
        <x:f>B7*(1+Assumptions!$B$5)</x:f>
        <x:v>1933141.3793568</x:v>
      </x:c>
      <x:c r="C8" s="46" t="n">
        <x:f>B8*Assumptions!G8*Assumptions!H8</x:f>
        <x:v>1968092.5754955711</x:v>
      </x:c>
      <x:c r="D8" s="46" t="n">
        <x:f>B8*Assumptions!$B$7</x:f>
        <x:v>1101890.586233376</x:v>
      </x:c>
      <x:c r="E8" s="46" t="n">
        <x:f>C8*(Assumptions!$B$8+Assumptions!I8)</x:f>
        <x:v>1135589.4160609446</x:v>
      </x:c>
      <x:c r="F8" s="42" t="n">
        <x:f>B8-D8</x:f>
        <x:v>831250.793123424</x:v>
      </x:c>
      <x:c r="G8" s="42" t="n">
        <x:f>C8-E8</x:f>
        <x:v>832503.1594346266</x:v>
      </x:c>
      <x:c r="H8" s="46" t="n">
        <x:f>B8*Assumptions!$B$9</x:f>
        <x:v>473619.637942416</x:v>
      </x:c>
      <x:c r="I8" s="46" t="n">
        <x:f>C8*(Assumptions!$B$10+Assumptions!J8)</x:f>
        <x:v>499895.51417587505</x:v>
      </x:c>
      <x:c r="J8" s="42" t="n">
        <x:f>F8-H8</x:f>
        <x:v>357631.15518100804</x:v>
      </x:c>
      <x:c r="K8" s="42" t="n">
        <x:f>G8-I8</x:f>
        <x:v>332607.6452587515</x:v>
      </x:c>
      <x:c r="L8" s="42" t="n">
        <x:f>C8-B8</x:f>
        <x:v>34951.19613877102</x:v>
      </x:c>
      <x:c r="M8" s="43" t="n">
        <x:f>IFERROR(L8/B8,0)</x:f>
        <x:v>0.018080000000000037</x:v>
      </x:c>
      <x:c r="N8" s="42" t="n">
        <x:f>K8-J8</x:f>
        <x:v>-25023.50992225652</x:v>
      </x:c>
    </x:row>
    <x:row r="9">
      <x:c r="A9" s="36" t="n">
        <x:v>46174</x:v>
      </x:c>
      <x:c r="B9" s="46" t="n">
        <x:f>B8*(1+Assumptions!$B$5)</x:f>
        <x:v>1967937.9241852225</x:v>
      </x:c>
      <x:c r="C9" s="46" t="n">
        <x:f>B9*Assumptions!G9*Assumptions!H9</x:f>
        <x:v>2028235.5421822579</x:v>
      </x:c>
      <x:c r="D9" s="46" t="n">
        <x:f>B9*Assumptions!$B$7</x:f>
        <x:v>1121724.6167855768</x:v>
      </x:c>
      <x:c r="E9" s="46" t="n">
        <x:f>C9*(Assumptions!$B$8+Assumptions!I9)</x:f>
        <x:v>1178404.8500078917</x:v>
      </x:c>
      <x:c r="F9" s="42" t="n">
        <x:f>B9-D9</x:f>
        <x:v>846213.3073996457</x:v>
      </x:c>
      <x:c r="G9" s="42" t="n">
        <x:f>C9-E9</x:f>
        <x:v>849830.6921743662</x:v>
      </x:c>
      <x:c r="H9" s="46" t="n">
        <x:f>B9*Assumptions!$B$9</x:f>
        <x:v>482144.7914253795</x:v>
      </x:c>
      <x:c r="I9" s="46" t="n">
        <x:f>C9*(Assumptions!$B$10+Assumptions!J9)</x:f>
        <x:v>511115.356629929</x:v>
      </x:c>
      <x:c r="J9" s="42" t="n">
        <x:f>F9-H9</x:f>
        <x:v>364068.51597426616</x:v>
      </x:c>
      <x:c r="K9" s="42" t="n">
        <x:f>G9-I9</x:f>
        <x:v>338715.3355444372</x:v>
      </x:c>
      <x:c r="L9" s="42" t="n">
        <x:f>C9-B9</x:f>
        <x:v>60297.617997035384</x:v>
      </x:c>
      <x:c r="M9" s="43" t="n">
        <x:f>IFERROR(L9/B9,0)</x:f>
        <x:v>0.030640000000000084</x:v>
      </x:c>
      <x:c r="N9" s="42" t="n">
        <x:f>K9-J9</x:f>
        <x:v>-25353.180429828935</x:v>
      </x:c>
    </x:row>
    <x:row r="10">
      <x:c r="A10" s="36" t="n">
        <x:v>46204</x:v>
      </x:c>
      <x:c r="B10" s="46" t="n">
        <x:f>B9*(1+Assumptions!$B$5)</x:f>
        <x:v>2003360.8068205565</x:v>
      </x:c>
      <x:c r="C10" s="46" t="n">
        <x:f>B10*Assumptions!G10*Assumptions!H10</x:f>
        <x:v>2129492.403217979</x:v>
      </x:c>
      <x:c r="D10" s="46" t="n">
        <x:f>B10*Assumptions!$B$7</x:f>
        <x:v>1141915.659887717</x:v>
      </x:c>
      <x:c r="E10" s="46" t="n">
        <x:f>C10*(Assumptions!$B$8+Assumptions!I10)</x:f>
        <x:v>1215940.1622374658</x:v>
      </x:c>
      <x:c r="F10" s="42" t="n">
        <x:f>B10-D10</x:f>
        <x:v>861445.1469328394</x:v>
      </x:c>
      <x:c r="G10" s="42" t="n">
        <x:f>C10-E10</x:f>
        <x:v>913552.2409805129</x:v>
      </x:c>
      <x:c r="H10" s="46" t="n">
        <x:f>B10*Assumptions!$B$9</x:f>
        <x:v>490823.39767103636</x:v>
      </x:c>
      <x:c r="I10" s="46" t="n">
        <x:f>C10*(Assumptions!$B$10+Assumptions!J10)</x:f>
        <x:v>525984.6235948408</x:v>
      </x:c>
      <x:c r="J10" s="42" t="n">
        <x:f>F10-H10</x:f>
        <x:v>370621.74926180305</x:v>
      </x:c>
      <x:c r="K10" s="42" t="n">
        <x:f>G10-I10</x:f>
        <x:v>387567.6173856722</x:v>
      </x:c>
      <x:c r="L10" s="42" t="n">
        <x:f>C10-B10</x:f>
        <x:v>126131.59639742225</x:v>
      </x:c>
      <x:c r="M10" s="43" t="n">
        <x:f>IFERROR(L10/B10,0)</x:f>
        <x:v>0.06296</x:v>
      </x:c>
      <x:c r="N10" s="42" t="n">
        <x:f>K10-J10</x:f>
        <x:v>16945.86812386912</x:v>
      </x:c>
    </x:row>
    <x:row r="11">
      <x:c r="A11" s="36" t="n">
        <x:v>46235</x:v>
      </x:c>
      <x:c r="B11" s="46" t="n">
        <x:f>B10*(1+Assumptions!$B$5)</x:f>
        <x:v>2039421.3013433265</x:v>
      </x:c>
      <x:c r="C11" s="46" t="n">
        <x:f>B11*Assumptions!G11*Assumptions!H11</x:f>
        <x:v>1974159.81970034</x:v>
      </x:c>
      <x:c r="D11" s="46" t="n">
        <x:f>B11*Assumptions!$B$7</x:f>
        <x:v>1162470.141765696</x:v>
      </x:c>
      <x:c r="E11" s="46" t="n">
        <x:f>C11*(Assumptions!$B$8+Assumptions!I11)</x:f>
        <x:v>1150935.1748852981</x:v>
      </x:c>
      <x:c r="F11" s="42" t="n">
        <x:f>B11-D11</x:f>
        <x:v>876951.1595776305</x:v>
      </x:c>
      <x:c r="G11" s="42" t="n">
        <x:f>C11-E11</x:f>
        <x:v>823224.6448150419</x:v>
      </x:c>
      <x:c r="H11" s="46" t="n">
        <x:f>B11*Assumptions!$B$9</x:f>
        <x:v>499658.218829115</x:v>
      </x:c>
      <x:c r="I11" s="46" t="n">
        <x:f>C11*(Assumptions!$B$10+Assumptions!J11)</x:f>
        <x:v>507359.0736629874</x:v>
      </x:c>
      <x:c r="J11" s="42" t="n">
        <x:f>F11-H11</x:f>
        <x:v>377292.9407485155</x:v>
      </x:c>
      <x:c r="K11" s="42" t="n">
        <x:f>G11-I11</x:f>
        <x:v>315865.57115205453</x:v>
      </x:c>
      <x:c r="L11" s="42" t="n">
        <x:f>C11-B11</x:f>
        <x:v>-65261.481642986415</x:v>
      </x:c>
      <x:c r="M11" s="43" t="n">
        <x:f>IFERROR(L11/B11,0)</x:f>
        <x:v>-0.03199999999999999</x:v>
      </x:c>
      <x:c r="N11" s="42" t="n">
        <x:f>K11-J11</x:f>
        <x:v>-61427.36959646095</x:v>
      </x:c>
    </x:row>
    <x:row r="12">
      <x:c r="A12" s="36" t="n">
        <x:v>46266</x:v>
      </x:c>
      <x:c r="B12" s="46" t="n">
        <x:f>B11*(1+Assumptions!$B$5)</x:f>
        <x:v>2076130.8847675063</x:v>
      </x:c>
      <x:c r="C12" s="46" t="n">
        <x:f>B12*Assumptions!G12*Assumptions!H12</x:f>
        <x:v>2225716.115015005</x:v>
      </x:c>
      <x:c r="D12" s="46" t="n">
        <x:f>B12*Assumptions!$B$7</x:f>
        <x:v>1183394.6043174784</x:v>
      </x:c>
      <x:c r="E12" s="46" t="n">
        <x:f>C12*(Assumptions!$B$8+Assumptions!I12)</x:f>
        <x:v>1275335.333903598</x:v>
      </x:c>
      <x:c r="F12" s="42" t="n">
        <x:f>B12-D12</x:f>
        <x:v>892736.2804500279</x:v>
      </x:c>
      <x:c r="G12" s="42" t="n">
        <x:f>C12-E12</x:f>
        <x:v>950380.7811114073</x:v>
      </x:c>
      <x:c r="H12" s="46" t="n">
        <x:f>B12*Assumptions!$B$9</x:f>
        <x:v>508652.066768039</x:v>
      </x:c>
      <x:c r="I12" s="46" t="n">
        <x:f>C12*(Assumptions!$B$10+Assumptions!J12)</x:f>
        <x:v>554203.3126387363</x:v>
      </x:c>
      <x:c r="J12" s="42" t="n">
        <x:f>F12-H12</x:f>
        <x:v>384084.2136819889</x:v>
      </x:c>
      <x:c r="K12" s="42" t="n">
        <x:f>G12-I12</x:f>
        <x:v>396177.468472671</x:v>
      </x:c>
      <x:c r="L12" s="42" t="n">
        <x:f>C12-B12</x:f>
        <x:v>149585.23024749896</x:v>
      </x:c>
      <x:c r="M12" s="43" t="n">
        <x:f>IFERROR(L12/B12,0)</x:f>
        <x:v>0.07205000000000006</x:v>
      </x:c>
      <x:c r="N12" s="42" t="n">
        <x:f>K12-J12</x:f>
        <x:v>12093.254790682113</x:v>
      </x:c>
    </x:row>
    <x:row r="13">
      <x:c r="A13" s="36" t="n">
        <x:v>46296</x:v>
      </x:c>
      <x:c r="B13" s="46" t="n">
        <x:f>B12*(1+Assumptions!$B$5)</x:f>
        <x:v>2113501.2406933215</x:v>
      </x:c>
      <x:c r="C13" s="46" t="n">
        <x:f>B13*Assumptions!G13*Assumptions!H13</x:f>
        <x:v>2360949.965953696</x:v>
      </x:c>
      <x:c r="D13" s="46" t="n">
        <x:f>B13*Assumptions!$B$7</x:f>
        <x:v>1204695.707195193</x:v>
      </x:c>
      <x:c r="E13" s="46" t="n">
        <x:f>C13*(Assumptions!$B$8+Assumptions!I13)</x:f>
        <x:v>1343380.530627653</x:v>
      </x:c>
      <x:c r="F13" s="42" t="n">
        <x:f>B13-D13</x:f>
        <x:v>908805.5334981284</x:v>
      </x:c>
      <x:c r="G13" s="42" t="n">
        <x:f>C13-E13</x:f>
        <x:v>1017569.435326043</x:v>
      </x:c>
      <x:c r="H13" s="46" t="n">
        <x:f>B13*Assumptions!$B$9</x:f>
        <x:v>517807.80396986374</x:v>
      </x:c>
      <x:c r="I13" s="46" t="n">
        <x:f>C13*(Assumptions!$B$10+Assumptions!J13)</x:f>
        <x:v>580793.6916246092</x:v>
      </x:c>
      <x:c r="J13" s="42" t="n">
        <x:f>F13-H13</x:f>
        <x:v>390997.72952826467</x:v>
      </x:c>
      <x:c r="K13" s="42" t="n">
        <x:f>G13-I13</x:f>
        <x:v>436775.7437014339</x:v>
      </x:c>
      <x:c r="L13" s="42" t="n">
        <x:f>C13-B13</x:f>
        <x:v>247448.7252603746</x:v>
      </x:c>
      <x:c r="M13" s="43" t="n">
        <x:f>IFERROR(L13/B13,0)</x:f>
        <x:v>0.11708000000000025</x:v>
      </x:c>
      <x:c r="N13" s="42" t="n">
        <x:f>K13-J13</x:f>
        <x:v>45778.01417316921</x:v>
      </x:c>
    </x:row>
    <x:row r="14">
      <x:c r="A14" s="36" t="n">
        <x:v>46327</x:v>
      </x:c>
      <x:c r="B14" s="46" t="n">
        <x:f>B13*(1+Assumptions!$B$5)</x:f>
        <x:v>2151544.263025801</x:v>
      </x:c>
      <x:c r="C14" s="46" t="n">
        <x:f>B14*Assumptions!G14*Assumptions!H14</x:f>
        <x:v>2338147.696958029</x:v>
      </x:c>
      <x:c r="D14" s="46" t="n">
        <x:f>B14*Assumptions!$B$7</x:f>
        <x:v>1226380.2299247065</x:v>
      </x:c>
      <x:c r="E14" s="46" t="n">
        <x:f>C14*(Assumptions!$B$8+Assumptions!I14)</x:f>
        <x:v>1351449.3688417408</x:v>
      </x:c>
      <x:c r="F14" s="42" t="n">
        <x:f>B14-D14</x:f>
        <x:v>925164.0331010947</x:v>
      </x:c>
      <x:c r="G14" s="42" t="n">
        <x:f>C14-E14</x:f>
        <x:v>986698.3281162884</x:v>
      </x:c>
      <x:c r="H14" s="46" t="n">
        <x:f>B14*Assumptions!$B$9</x:f>
        <x:v>527128.3444413213</x:v>
      </x:c>
      <x:c r="I14" s="46" t="n">
        <x:f>C14*(Assumptions!$B$10+Assumptions!J14)</x:f>
        <x:v>589213.2196334234</x:v>
      </x:c>
      <x:c r="J14" s="42" t="n">
        <x:f>F14-H14</x:f>
        <x:v>398035.6886597733</x:v>
      </x:c>
      <x:c r="K14" s="42" t="n">
        <x:f>G14-I14</x:f>
        <x:v>397485.10848286503</x:v>
      </x:c>
      <x:c r="L14" s="42" t="n">
        <x:f>C14-B14</x:f>
        <x:v>186603.433932228</x:v>
      </x:c>
      <x:c r="M14" s="43" t="n">
        <x:f>IFERROR(L14/B14,0)</x:f>
        <x:v>0.08673000000000013</x:v>
      </x:c>
      <x:c r="N14" s="42" t="n">
        <x:f>K14-J14</x:f>
        <x:v>-550.58017690829</x:v>
      </x:c>
    </x:row>
    <x:row r="15">
      <x:c r="A15" s="36" t="n">
        <x:v>46357</x:v>
      </x:c>
      <x:c r="B15" s="46" t="n">
        <x:f>B14*(1+Assumptions!$B$5)</x:f>
        <x:v>2190272.0597602655</x:v>
      </x:c>
      <x:c r="C15" s="46" t="n">
        <x:f>B15*Assumptions!G15*Assumptions!H15</x:f>
        <x:v>2589339.629048586</x:v>
      </x:c>
      <x:c r="D15" s="46" t="n">
        <x:f>B15*Assumptions!$B$7</x:f>
        <x:v>1248455.0740633511</x:v>
      </x:c>
      <x:c r="E15" s="46" t="n">
        <x:f>C15*(Assumptions!$B$8+Assumptions!I15)</x:f>
        <x:v>1475923.5885576939</x:v>
      </x:c>
      <x:c r="F15" s="42" t="n">
        <x:f>B15-D15</x:f>
        <x:v>941816.9856969144</x:v>
      </x:c>
      <x:c r="G15" s="42" t="n">
        <x:f>C15-E15</x:f>
        <x:v>1113416.040490892</x:v>
      </x:c>
      <x:c r="H15" s="46" t="n">
        <x:f>B15*Assumptions!$B$9</x:f>
        <x:v>536616.654641265</x:v>
      </x:c>
      <x:c r="I15" s="46" t="n">
        <x:f>C15*(Assumptions!$B$10+Assumptions!J15)</x:f>
        <x:v>639566.8883750007</x:v>
      </x:c>
      <x:c r="J15" s="42" t="n">
        <x:f>F15-H15</x:f>
        <x:v>405200.3310556493</x:v>
      </x:c>
      <x:c r="K15" s="42" t="n">
        <x:f>G15-I15</x:f>
        <x:v>473849.15211589134</x:v>
      </x:c>
      <x:c r="L15" s="42" t="n">
        <x:f>C15-B15</x:f>
        <x:v>399067.5692883204</x:v>
      </x:c>
      <x:c r="M15" s="43" t="n">
        <x:f>IFERROR(L15/B15,0)</x:f>
        <x:v>0.1822</x:v>
      </x:c>
      <x:c r="N15" s="42" t="n">
        <x:f>K15-J15</x:f>
        <x:v>68648.82106024201</x:v>
      </x:c>
    </x:row>
  </x:sheetData>
  <x:mergeCells>
    <x:mergeCell ref="A1:N1"/>
  </x:mergeCells>
  <x:conditionalFormatting sqref="L4:N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5fd1476ec5e4c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</x:cols>
  <x:sheetData>
    <x:row r="1">
      <x:c r="A1" s="5" t="str">
        <x:v>Budget vs Actual – Annual Summary ($)</x:v>
      </x:c>
      <x:c r="B1" s="5"/>
      <x:c r="C1" s="5"/>
      <x:c r="D1" s="5"/>
      <x:c r="E1" s="5"/>
      <x:c r="F1" s="5"/>
      <x:c r="G1" s="5"/>
    </x:row>
    <x:row r="3">
      <x:c r="A3" s="14" t="str">
        <x:v>Metric</x:v>
      </x:c>
      <x:c r="B3" s="14" t="str">
        <x:v>Budget</x:v>
      </x:c>
      <x:c r="C3" s="14" t="str">
        <x:v>Actual</x:v>
      </x:c>
      <x:c r="D3" s="14" t="str">
        <x:v>Variance $</x:v>
      </x:c>
      <x:c r="E3" s="14" t="str">
        <x:v>Variance %</x:v>
      </x:c>
      <x:c r="F3" s="14" t="str">
        <x:v>Status</x:v>
      </x:c>
      <x:c r="G3" s="14" t="str">
        <x:v>Interpretation</x:v>
      </x:c>
    </x:row>
    <x:row r="4">
      <x:c r="A4" t="str">
        <x:v>Revenue</x:v>
      </x:c>
      <x:c r="B4" s="46" t="n">
        <x:f>SUM('Raw Data'!B4:B15)</x:f>
        <x:v>23872053.157552797</x:v>
      </x:c>
      <x:c r="C4" s="46" t="n">
        <x:f>SUM('Raw Data'!C4:C15)</x:f>
        <x:v>24944741.475311816</x:v>
      </x:c>
      <x:c r="D4" s="38" t="n">
        <x:f>C4-B4</x:f>
        <x:v>1072688.3177590184</x:v>
      </x:c>
      <x:c r="E4" s="40" t="n">
        <x:f>IFERROR(D4/B4,0)</x:f>
        <x:v>0.044934899846251146</x:v>
      </x:c>
      <x:c r="F4" t="str">
        <x:f>IF(D4&gt;=0,"Favorable","Unfavorable")</x:f>
        <x:v>Favorable</x:v>
      </x:c>
      <x:c r="G4" t="str">
        <x:f>IF(D4&gt;=0,"Performance ahead of plan","Review variance drivers")</x:f>
        <x:v>Performance ahead of plan</x:v>
      </x:c>
    </x:row>
    <x:row r="5">
      <x:c r="A5" t="str">
        <x:v>COGS</x:v>
      </x:c>
      <x:c r="B5" s="46" t="n">
        <x:f>SUM('Raw Data'!D4:D15)</x:f>
        <x:v>13607070.299805095</x:v>
      </x:c>
      <x:c r="C5" s="46" t="n">
        <x:f>SUM('Raw Data'!E4:E15)</x:f>
        <x:v>14346137.530651087</x:v>
      </x:c>
      <x:c r="D5" s="38" t="n">
        <x:f>B5-C5</x:f>
        <x:v>-739067.2308459915</x:v>
      </x:c>
      <x:c r="E5" s="40" t="n">
        <x:f>IFERROR(D5/B5,0)</x:f>
        <x:v>-0.054314941759107234</x:v>
      </x:c>
      <x:c r="F5" t="str">
        <x:f>IF(D5&gt;=0,"Favorable","Unfavorable")</x:f>
        <x:v>Unfavorable</x:v>
      </x:c>
      <x:c r="G5" t="str">
        <x:f>IF(D5&gt;=0,"Performance ahead of plan","Review variance drivers")</x:f>
        <x:v>Review variance drivers</x:v>
      </x:c>
    </x:row>
    <x:row r="6">
      <x:c r="A6" t="str">
        <x:v>Gross Profit</x:v>
      </x:c>
      <x:c r="B6" s="46" t="n">
        <x:f>SUM('Raw Data'!F4:F15)</x:f>
        <x:v>10264982.857747706</x:v>
      </x:c>
      <x:c r="C6" s="46" t="n">
        <x:f>SUM('Raw Data'!G4:G15)</x:f>
        <x:v>10598603.94466073</x:v>
      </x:c>
      <x:c r="D6" s="38" t="n">
        <x:f>C6-B6</x:f>
        <x:v>333621.086913025</x:v>
      </x:c>
      <x:c r="E6" s="40" t="n">
        <x:f>IFERROR(D6/B6,0)</x:f>
        <x:v>0.032500890798976605</x:v>
      </x:c>
      <x:c r="F6" t="str">
        <x:f>IF(D6&gt;=0,"Favorable","Unfavorable")</x:f>
        <x:v>Favorable</x:v>
      </x:c>
      <x:c r="G6" t="str">
        <x:f>IF(D6&gt;=0,"Performance ahead of plan","Review variance drivers")</x:f>
        <x:v>Performance ahead of plan</x:v>
      </x:c>
    </x:row>
    <x:row r="7">
      <x:c r="A7" t="str">
        <x:v>Operating Expenses</x:v>
      </x:c>
      <x:c r="B7" s="46" t="n">
        <x:f>SUM('Raw Data'!H4:H15)</x:f>
        <x:v>5848653.023600436</x:v>
      </x:c>
      <x:c r="C7" s="46" t="n">
        <x:f>SUM('Raw Data'!I4:I15)</x:f>
        <x:v>6254622.243186209</x:v>
      </x:c>
      <x:c r="D7" s="38" t="n">
        <x:f>B7-C7</x:f>
        <x:v>-405969.21958577354</x:v>
      </x:c>
      <x:c r="E7" s="40" t="n">
        <x:f>IFERROR(D7/B7,0)</x:f>
        <x:v>-0.06941243016940994</x:v>
      </x:c>
      <x:c r="F7" t="str">
        <x:f>IF(D7&gt;=0,"Favorable","Unfavorable")</x:f>
        <x:v>Unfavorable</x:v>
      </x:c>
      <x:c r="G7" t="str">
        <x:f>IF(D7&gt;=0,"Performance ahead of plan","Review variance drivers")</x:f>
        <x:v>Review variance drivers</x:v>
      </x:c>
    </x:row>
    <x:row r="8">
      <x:c r="A8" t="str">
        <x:v>EBITDA</x:v>
      </x:c>
      <x:c r="B8" s="46" t="n">
        <x:f>SUM('Raw Data'!J4:J15)</x:f>
        <x:v>4416329.83414727</x:v>
      </x:c>
      <x:c r="C8" s="46" t="n">
        <x:f>SUM('Raw Data'!K4:K15)</x:f>
        <x:v>4343981.701474521</x:v>
      </x:c>
      <x:c r="D8" s="38" t="n">
        <x:f>C8-B8</x:f>
        <x:v>-72348.13267274853</x:v>
      </x:c>
      <x:c r="E8" s="40" t="n">
        <x:f>IFERROR(D8/B8,0)</x:f>
        <x:v>-0.016381958637543183</x:v>
      </x:c>
      <x:c r="F8" t="str">
        <x:f>IF(D8&gt;=0,"Favorable","Unfavorable")</x:f>
        <x:v>Unfavorable</x:v>
      </x:c>
      <x:c r="G8" t="str">
        <x:f>IF(D8&gt;=0,"Performance ahead of plan","Review variance drivers")</x:f>
        <x:v>Review variance drivers</x:v>
      </x:c>
    </x:row>
  </x:sheetData>
  <x:mergeCells>
    <x:mergeCell ref="A1:G1"/>
  </x:mergeCells>
  <x:conditionalFormatting sqref="D4:E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5" t="str">
        <x:v>12-Month Forward Forecast ($)</x:v>
      </x:c>
      <x:c r="B1" s="5"/>
      <x:c r="C1" s="5"/>
      <x:c r="D1" s="5"/>
      <x:c r="E1" s="5"/>
      <x:c r="F1" s="5"/>
      <x:c r="G1" s="5"/>
    </x:row>
    <x:row r="3">
      <x:c r="A3" s="14" t="str">
        <x:v>Month</x:v>
      </x:c>
      <x:c r="B3" s="14" t="str">
        <x:v>Forecast Revenue</x:v>
      </x:c>
      <x:c r="C3" s="14" t="str">
        <x:v>Forecast COGS</x:v>
      </x:c>
      <x:c r="D3" s="14" t="str">
        <x:v>Forecast Gross Profit</x:v>
      </x:c>
      <x:c r="E3" s="14" t="str">
        <x:v>Forecast OpEx</x:v>
      </x:c>
      <x:c r="F3" s="14" t="str">
        <x:v>Forecast EBITDA</x:v>
      </x:c>
      <x:c r="G3" s="14" t="str">
        <x:v>EBITDA Margin</x:v>
      </x:c>
    </x:row>
    <x:row r="4">
      <x:c r="A4" s="34" t="n">
        <x:v>46388</x:v>
      </x:c>
      <x:c r="B4" s="46" t="n">
        <x:f>'Raw Data'!C15*(1+Assumptions!$B$11)</x:f>
        <x:v>2646305.100887655</x:v>
      </x:c>
      <x:c r="C4" s="42" t="n">
        <x:f>B4*Assumptions!$B$12</x:f>
        <x:v>1495162.3820015248</x:v>
      </x:c>
      <x:c r="D4" s="42" t="n">
        <x:f>B4-C4</x:f>
        <x:v>1151142.71888613</x:v>
      </x:c>
      <x:c r="E4" s="42" t="n">
        <x:f>B4*Assumptions!$B$13</x:f>
        <x:v>635113.2242130372</x:v>
      </x:c>
      <x:c r="F4" s="42" t="n">
        <x:f>D4-E4</x:f>
        <x:v>516029.49467309285</x:v>
      </x:c>
      <x:c r="G4" s="40" t="n">
        <x:f>IFERROR(F4/B4,0)</x:f>
        <x:v>0.19500000000000006</x:v>
      </x:c>
    </x:row>
    <x:row r="5">
      <x:c r="A5" s="34" t="n">
        <x:v>46419</x:v>
      </x:c>
      <x:c r="B5" s="46" t="n">
        <x:f>B4*(1+Assumptions!$B$11)</x:f>
        <x:v>2704523.813107183</x:v>
      </x:c>
      <x:c r="C5" s="42" t="n">
        <x:f>B5*Assumptions!$B$12</x:f>
        <x:v>1528055.9544055583</x:v>
      </x:c>
      <x:c r="D5" s="42" t="n">
        <x:f>B5-C5</x:f>
        <x:v>1176467.858701625</x:v>
      </x:c>
      <x:c r="E5" s="42" t="n">
        <x:f>B5*Assumptions!$B$13</x:f>
        <x:v>649085.7151457239</x:v>
      </x:c>
      <x:c r="F5" s="42" t="n">
        <x:f>D5-E5</x:f>
        <x:v>527382.143555901</x:v>
      </x:c>
      <x:c r="G5" s="40" t="n">
        <x:f>IFERROR(F5/B5,0)</x:f>
        <x:v>0.19500000000000012</x:v>
      </x:c>
    </x:row>
    <x:row r="6">
      <x:c r="A6" s="34" t="n">
        <x:v>46447</x:v>
      </x:c>
      <x:c r="B6" s="46" t="n">
        <x:f>B5*(1+Assumptions!$B$11)</x:f>
        <x:v>2764023.336995541</x:v>
      </x:c>
      <x:c r="C6" s="42" t="n">
        <x:f>B6*Assumptions!$B$12</x:f>
        <x:v>1561673.1854024807</x:v>
      </x:c>
      <x:c r="D6" s="42" t="n">
        <x:f>B6-C6</x:f>
        <x:v>1202350.1515930605</x:v>
      </x:c>
      <x:c r="E6" s="42" t="n">
        <x:f>B6*Assumptions!$B$13</x:f>
        <x:v>663365.6008789298</x:v>
      </x:c>
      <x:c r="F6" s="42" t="n">
        <x:f>D6-E6</x:f>
        <x:v>538984.5507141306</x:v>
      </x:c>
      <x:c r="G6" s="40" t="n">
        <x:f>IFERROR(F6/B6,0)</x:f>
        <x:v>0.19500000000000003</x:v>
      </x:c>
    </x:row>
    <x:row r="7">
      <x:c r="A7" s="34" t="n">
        <x:v>46478</x:v>
      </x:c>
      <x:c r="B7" s="46" t="n">
        <x:f>B6*(1+Assumptions!$B$11)</x:f>
        <x:v>2824831.850409443</x:v>
      </x:c>
      <x:c r="C7" s="42" t="n">
        <x:f>B7*Assumptions!$B$12</x:f>
        <x:v>1596029.995481335</x:v>
      </x:c>
      <x:c r="D7" s="42" t="n">
        <x:f>B7-C7</x:f>
        <x:v>1228801.854928108</x:v>
      </x:c>
      <x:c r="E7" s="42" t="n">
        <x:f>B7*Assumptions!$B$13</x:f>
        <x:v>677959.6440982663</x:v>
      </x:c>
      <x:c r="F7" s="42" t="n">
        <x:f>D7-E7</x:f>
        <x:v>550842.2108298417</x:v>
      </x:c>
      <x:c r="G7" s="40" t="n">
        <x:f>IFERROR(F7/B7,0)</x:f>
        <x:v>0.1950000000000001</x:v>
      </x:c>
    </x:row>
    <x:row r="8">
      <x:c r="A8" s="34" t="n">
        <x:v>46508</x:v>
      </x:c>
      <x:c r="B8" s="46" t="n">
        <x:f>B7*(1+Assumptions!$B$11)</x:f>
        <x:v>2886978.151118451</x:v>
      </x:c>
      <x:c r="C8" s="42" t="n">
        <x:f>B8*Assumptions!$B$12</x:f>
        <x:v>1631142.6553819245</x:v>
      </x:c>
      <x:c r="D8" s="42" t="n">
        <x:f>B8-C8</x:f>
        <x:v>1255835.4957365263</x:v>
      </x:c>
      <x:c r="E8" s="42" t="n">
        <x:f>B8*Assumptions!$B$13</x:f>
        <x:v>692874.7562684282</x:v>
      </x:c>
      <x:c r="F8" s="42" t="n">
        <x:f>D8-E8</x:f>
        <x:v>562960.7394680982</x:v>
      </x:c>
      <x:c r="G8" s="40" t="n">
        <x:f>IFERROR(F8/B8,0)</x:f>
        <x:v>0.1950000000000001</x:v>
      </x:c>
    </x:row>
    <x:row r="9">
      <x:c r="A9" s="34" t="n">
        <x:v>46539</x:v>
      </x:c>
      <x:c r="B9" s="46" t="n">
        <x:f>B8*(1+Assumptions!$B$11)</x:f>
        <x:v>2950491.6704430566</x:v>
      </x:c>
      <x:c r="C9" s="42" t="n">
        <x:f>B9*Assumptions!$B$12</x:f>
        <x:v>1667027.7938003268</x:v>
      </x:c>
      <x:c r="D9" s="42" t="n">
        <x:f>B9-C9</x:f>
        <x:v>1283463.8766427299</x:v>
      </x:c>
      <x:c r="E9" s="42" t="n">
        <x:f>B9*Assumptions!$B$13</x:f>
        <x:v>708118.0009063336</x:v>
      </x:c>
      <x:c r="F9" s="42" t="n">
        <x:f>D9-E9</x:f>
        <x:v>575345.8757363963</x:v>
      </x:c>
      <x:c r="G9" s="40" t="n">
        <x:f>IFERROR(F9/B9,0)</x:f>
        <x:v>0.1950000000000001</x:v>
      </x:c>
    </x:row>
    <x:row r="10">
      <x:c r="A10" s="34" t="n">
        <x:v>46569</x:v>
      </x:c>
      <x:c r="B10" s="46" t="n">
        <x:f>B9*(1+Assumptions!$B$11)</x:f>
        <x:v>3015402.487192804</x:v>
      </x:c>
      <x:c r="C10" s="42" t="n">
        <x:f>B10*Assumptions!$B$12</x:f>
        <x:v>1703702.405263934</x:v>
      </x:c>
      <x:c r="D10" s="42" t="n">
        <x:f>B10-C10</x:f>
        <x:v>1311700.08192887</x:v>
      </x:c>
      <x:c r="E10" s="42" t="n">
        <x:f>B10*Assumptions!$B$13</x:f>
        <x:v>723696.596926273</x:v>
      </x:c>
      <x:c r="F10" s="42" t="n">
        <x:f>D10-E10</x:f>
        <x:v>588003.485002597</x:v>
      </x:c>
      <x:c r="G10" s="40" t="n">
        <x:f>IFERROR(F10/B10,0)</x:f>
        <x:v>0.19500000000000006</x:v>
      </x:c>
    </x:row>
    <x:row r="11">
      <x:c r="A11" s="34" t="n">
        <x:v>46600</x:v>
      </x:c>
      <x:c r="B11" s="46" t="n">
        <x:f>B10*(1+Assumptions!$B$11)</x:f>
        <x:v>3081741.341911046</x:v>
      </x:c>
      <x:c r="C11" s="42" t="n">
        <x:f>B11*Assumptions!$B$12</x:f>
        <x:v>1741183.8581797408</x:v>
      </x:c>
      <x:c r="D11" s="42" t="n">
        <x:f>B11-C11</x:f>
        <x:v>1340557.483731305</x:v>
      </x:c>
      <x:c r="E11" s="42" t="n">
        <x:f>B11*Assumptions!$B$13</x:f>
        <x:v>739617.922058651</x:v>
      </x:c>
      <x:c r="F11" s="42" t="n">
        <x:f>D11-E11</x:f>
        <x:v>600939.561672654</x:v>
      </x:c>
      <x:c r="G11" s="40" t="n">
        <x:f>IFERROR(F11/B11,0)</x:f>
        <x:v>0.19500000000000003</x:v>
      </x:c>
    </x:row>
    <x:row r="12">
      <x:c r="A12" s="34" t="n">
        <x:v>46631</x:v>
      </x:c>
      <x:c r="B12" s="46" t="n">
        <x:f>B11*(1+Assumptions!$B$11)</x:f>
        <x:v>3149539.651433089</x:v>
      </x:c>
      <x:c r="C12" s="42" t="n">
        <x:f>B12*Assumptions!$B$12</x:f>
        <x:v>1779489.903059695</x:v>
      </x:c>
      <x:c r="D12" s="42" t="n">
        <x:f>B12-C12</x:f>
        <x:v>1370049.748373394</x:v>
      </x:c>
      <x:c r="E12" s="42" t="n">
        <x:f>B12*Assumptions!$B$13</x:f>
        <x:v>755889.5163439413</x:v>
      </x:c>
      <x:c r="F12" s="42" t="n">
        <x:f>D12-E12</x:f>
        <x:v>614160.2320294526</x:v>
      </x:c>
      <x:c r="G12" s="40" t="n">
        <x:f>IFERROR(F12/B12,0)</x:f>
        <x:v>0.1950000000000001</x:v>
      </x:c>
    </x:row>
    <x:row r="13">
      <x:c r="A13" s="34" t="n">
        <x:v>46661</x:v>
      </x:c>
      <x:c r="B13" s="46" t="n">
        <x:f>B12*(1+Assumptions!$B$11)</x:f>
        <x:v>3218829.523764617</x:v>
      </x:c>
      <x:c r="C13" s="42" t="n">
        <x:f>B13*Assumptions!$B$12</x:f>
        <x:v>1818638.6809270084</x:v>
      </x:c>
      <x:c r="D13" s="42" t="n">
        <x:f>B13-C13</x:f>
        <x:v>1400190.8428376084</x:v>
      </x:c>
      <x:c r="E13" s="42" t="n">
        <x:f>B13*Assumptions!$B$13</x:f>
        <x:v>772519.085703508</x:v>
      </x:c>
      <x:c r="F13" s="42" t="n">
        <x:f>D13-E13</x:f>
        <x:v>627671.7571341004</x:v>
      </x:c>
      <x:c r="G13" s="40" t="n">
        <x:f>IFERROR(F13/B13,0)</x:f>
        <x:v>0.19500000000000003</x:v>
      </x:c>
    </x:row>
    <x:row r="14">
      <x:c r="A14" s="34" t="n">
        <x:v>46692</x:v>
      </x:c>
      <x:c r="B14" s="46" t="n">
        <x:f>B13*(1+Assumptions!$B$11)</x:f>
        <x:v>3289643.7732874383</x:v>
      </x:c>
      <x:c r="C14" s="42" t="n">
        <x:f>B14*Assumptions!$B$12</x:f>
        <x:v>1858648.7319074024</x:v>
      </x:c>
      <x:c r="D14" s="42" t="n">
        <x:f>B14-C14</x:f>
        <x:v>1430995.041380036</x:v>
      </x:c>
      <x:c r="E14" s="42" t="n">
        <x:f>B14*Assumptions!$B$13</x:f>
        <x:v>789514.5055889852</x:v>
      </x:c>
      <x:c r="F14" s="42" t="n">
        <x:f>D14-E14</x:f>
        <x:v>641480.5357910508</x:v>
      </x:c>
      <x:c r="G14" s="40" t="n">
        <x:f>IFERROR(F14/B14,0)</x:f>
        <x:v>0.1950000000000001</x:v>
      </x:c>
    </x:row>
    <x:row r="15">
      <x:c r="A15" s="34" t="n">
        <x:v>46722</x:v>
      </x:c>
      <x:c r="B15" s="46" t="n">
        <x:f>B14*(1+Assumptions!$B$11)</x:f>
        <x:v>3362015.936299762</x:v>
      </x:c>
      <x:c r="C15" s="42" t="n">
        <x:f>B15*Assumptions!$B$12</x:f>
        <x:v>1899539.0040093656</x:v>
      </x:c>
      <x:c r="D15" s="42" t="n">
        <x:f>B15-C15</x:f>
        <x:v>1462476.9322903967</x:v>
      </x:c>
      <x:c r="E15" s="42" t="n">
        <x:f>B15*Assumptions!$B$13</x:f>
        <x:v>806883.8247119429</x:v>
      </x:c>
      <x:c r="F15" s="42" t="n">
        <x:f>D15-E15</x:f>
        <x:v>655593.1075784537</x:v>
      </x:c>
      <x:c r="G15" s="40" t="n">
        <x:f>IFERROR(F15/B15,0)</x:f>
        <x:v>0.19500000000000003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0341efef2df42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</x:cols>
  <x:sheetData>
    <x:row r="1">
      <x:c r="A1" s="5" t="str">
        <x:v>Monthly Variance Analysis</x:v>
      </x:c>
      <x:c r="B1" s="5"/>
      <x:c r="C1" s="5"/>
      <x:c r="D1" s="5"/>
      <x:c r="E1" s="5"/>
      <x:c r="F1" s="5"/>
    </x:row>
    <x:row r="3">
      <x:c r="A3" s="14" t="str">
        <x:v>Month</x:v>
      </x:c>
      <x:c r="B3" s="14" t="str">
        <x:v>Revenue Var $</x:v>
      </x:c>
      <x:c r="C3" s="14" t="str">
        <x:v>Revenue Var %</x:v>
      </x:c>
      <x:c r="D3" s="14" t="str">
        <x:v>EBITDA Var $</x:v>
      </x:c>
      <x:c r="E3" s="14" t="str">
        <x:v>EBITDA Var %</x:v>
      </x:c>
      <x:c r="F3" s="14" t="str">
        <x:v>Comment</x:v>
      </x:c>
    </x:row>
    <x:row r="4">
      <x:c r="A4" s="48" t="n">
        <x:f>'Raw Data'!A4</x:f>
        <x:v>46023</x:v>
      </x:c>
      <x:c r="B4" s="46" t="n">
        <x:f>'Raw Data'!L4</x:f>
        <x:v>-97920</x:v>
      </x:c>
      <x:c r="C4" s="49" t="n">
        <x:f>'Raw Data'!M4</x:f>
        <x:v>-0.0544</x:v>
      </x:c>
      <x:c r="D4" s="46" t="n">
        <x:f>'Raw Data'!N4</x:f>
        <x:v>-47050.560000000056</x:v>
      </x:c>
      <x:c r="E4" s="49" t="n">
        <x:f>IFERROR(D4/'Raw Data'!J4,0)</x:f>
        <x:v>-0.14129297297297308</x:v>
      </x:c>
      <x:c r="F4" t="str">
        <x:f>IF(D4&gt;=0,"EBITDA above budget","EBITDA below budget")</x:f>
        <x:v>EBITDA below budget</x:v>
      </x:c>
    </x:row>
    <x:row r="5">
      <x:c r="A5" s="48" t="n">
        <x:f>'Raw Data'!A5</x:f>
        <x:v>46054</x:v>
      </x:c>
      <x:c r="B5" s="46" t="n">
        <x:f>'Raw Data'!L5</x:f>
        <x:v>-4324.46399999992</x:v>
      </x:c>
      <x:c r="C5" s="49" t="n">
        <x:f>'Raw Data'!M5</x:f>
        <x:v>-0.0023599999999999563</x:v>
      </x:c>
      <x:c r="D5" s="46" t="n">
        <x:f>'Raw Data'!N5</x:f>
        <x:v>-15424.630128000048</x:v>
      </x:c>
      <x:c r="E5" s="49" t="n">
        <x:f>IFERROR(D5/'Raw Data'!J5,0)</x:f>
        <x:v>-0.045501189189189314</x:v>
      </x:c>
      <x:c r="F5" t="str">
        <x:f>IF(D5&gt;=0,"EBITDA above budget","EBITDA below budget")</x:f>
        <x:v>EBITDA below budget</x:v>
      </x:c>
    </x:row>
    <x:row r="6">
      <x:c r="A6" s="48" t="n">
        <x:f>'Raw Data'!A6</x:f>
        <x:v>46082</x:v>
      </x:c>
      <x:c r="B6" s="46" t="n">
        <x:f>'Raw Data'!L6</x:f>
        <x:v>-52230.72959999996</x:v>
      </x:c>
      <x:c r="C6" s="49" t="n">
        <x:f>'Raw Data'!M6</x:f>
        <x:v>-0.02799999999999998</x:v>
      </x:c>
      <x:c r="D6" s="46" t="n">
        <x:f>'Raw Data'!N6</x:f>
        <x:v>-51365.19179520017</x:v>
      </x:c>
      <x:c r="E6" s="49" t="n">
        <x:f>IFERROR(D6/'Raw Data'!J6,0)</x:f>
        <x:v>-0.1488432432432437</x:v>
      </x:c>
      <x:c r="F6" t="str">
        <x:f>IF(D6&gt;=0,"EBITDA above budget","EBITDA below budget")</x:f>
        <x:v>EBITDA below budget</x:v>
      </x:c>
    </x:row>
    <x:row r="7">
      <x:c r="A7" s="48" t="n">
        <x:f>'Raw Data'!A7</x:f>
        <x:v>46113</x:v>
      </x:c>
      <x:c r="B7" s="46" t="n">
        <x:f>'Raw Data'!L7</x:f>
        <x:v>88339.62374035222</x:v>
      </x:c>
      <x:c r="C7" s="49" t="n">
        <x:f>'Raw Data'!M7</x:f>
        <x:v>0.04652000000000012</x:v>
      </x:c>
      <x:c r="D7" s="46" t="n">
        <x:f>'Raw Data'!N7</x:f>
        <x:v>10380.931227944093</x:v>
      </x:c>
      <x:c r="E7" s="49" t="n">
        <x:f>IFERROR(D7/'Raw Data'!J7,0)</x:f>
        <x:v>0.02954940540540547</x:v>
      </x:c>
      <x:c r="F7" t="str">
        <x:f>IF(D7&gt;=0,"EBITDA above budget","EBITDA below budget")</x:f>
        <x:v>EBITDA above budget</x:v>
      </x:c>
    </x:row>
    <x:row r="8">
      <x:c r="A8" s="48" t="n">
        <x:f>'Raw Data'!A8</x:f>
        <x:v>46143</x:v>
      </x:c>
      <x:c r="B8" s="46" t="n">
        <x:f>'Raw Data'!L8</x:f>
        <x:v>34951.19613877102</x:v>
      </x:c>
      <x:c r="C8" s="49" t="n">
        <x:f>'Raw Data'!M8</x:f>
        <x:v>0.018080000000000037</x:v>
      </x:c>
      <x:c r="D8" s="46" t="n">
        <x:f>'Raw Data'!N8</x:f>
        <x:v>-25023.50992225652</x:v>
      </x:c>
      <x:c r="E8" s="49" t="n">
        <x:f>IFERROR(D8/'Raw Data'!J8,0)</x:f>
        <x:v>-0.06997016216216217</x:v>
      </x:c>
      <x:c r="F8" t="str">
        <x:f>IF(D8&gt;=0,"EBITDA above budget","EBITDA below budget")</x:f>
        <x:v>EBITDA below budget</x:v>
      </x:c>
    </x:row>
    <x:row r="9">
      <x:c r="A9" s="48" t="n">
        <x:f>'Raw Data'!A9</x:f>
        <x:v>46174</x:v>
      </x:c>
      <x:c r="B9" s="46" t="n">
        <x:f>'Raw Data'!L9</x:f>
        <x:v>60297.617997035384</x:v>
      </x:c>
      <x:c r="C9" s="49" t="n">
        <x:f>'Raw Data'!M9</x:f>
        <x:v>0.030640000000000084</x:v>
      </x:c>
      <x:c r="D9" s="46" t="n">
        <x:f>'Raw Data'!N9</x:f>
        <x:v>-25353.180429828935</x:v>
      </x:c>
      <x:c r="E9" s="49" t="n">
        <x:f>IFERROR(D9/'Raw Data'!J9,0)</x:f>
        <x:v>-0.06963848648648596</x:v>
      </x:c>
      <x:c r="F9" t="str">
        <x:f>IF(D9&gt;=0,"EBITDA above budget","EBITDA below budget")</x:f>
        <x:v>EBITDA below budget</x:v>
      </x:c>
    </x:row>
    <x:row r="10">
      <x:c r="A10" s="48" t="n">
        <x:f>'Raw Data'!A10</x:f>
        <x:v>46204</x:v>
      </x:c>
      <x:c r="B10" s="46" t="n">
        <x:f>'Raw Data'!L10</x:f>
        <x:v>126131.59639742225</x:v>
      </x:c>
      <x:c r="C10" s="49" t="n">
        <x:f>'Raw Data'!M10</x:f>
        <x:v>0.06296</x:v>
      </x:c>
      <x:c r="D10" s="46" t="n">
        <x:f>'Raw Data'!N10</x:f>
        <x:v>16945.86812386912</x:v>
      </x:c>
      <x:c r="E10" s="49" t="n">
        <x:f>IFERROR(D10/'Raw Data'!J10,0)</x:f>
        <x:v>0.04572281081081064</x:v>
      </x:c>
      <x:c r="F10" t="str">
        <x:f>IF(D10&gt;=0,"EBITDA above budget","EBITDA below budget")</x:f>
        <x:v>EBITDA above budget</x:v>
      </x:c>
    </x:row>
    <x:row r="11">
      <x:c r="A11" s="48" t="n">
        <x:f>'Raw Data'!A11</x:f>
        <x:v>46235</x:v>
      </x:c>
      <x:c r="B11" s="46" t="n">
        <x:f>'Raw Data'!L11</x:f>
        <x:v>-65261.481642986415</x:v>
      </x:c>
      <x:c r="C11" s="49" t="n">
        <x:f>'Raw Data'!M11</x:f>
        <x:v>-0.03199999999999999</x:v>
      </x:c>
      <x:c r="D11" s="46" t="n">
        <x:f>'Raw Data'!N11</x:f>
        <x:v>-61427.36959646095</x:v>
      </x:c>
      <x:c r="E11" s="49" t="n">
        <x:f>IFERROR(D11/'Raw Data'!J11,0)</x:f>
        <x:v>-0.16281081081081067</x:v>
      </x:c>
      <x:c r="F11" t="str">
        <x:f>IF(D11&gt;=0,"EBITDA above budget","EBITDA below budget")</x:f>
        <x:v>EBITDA below budget</x:v>
      </x:c>
    </x:row>
    <x:row r="12">
      <x:c r="A12" s="48" t="n">
        <x:f>'Raw Data'!A12</x:f>
        <x:v>46266</x:v>
      </x:c>
      <x:c r="B12" s="46" t="n">
        <x:f>'Raw Data'!L12</x:f>
        <x:v>149585.23024749896</x:v>
      </x:c>
      <x:c r="C12" s="49" t="n">
        <x:f>'Raw Data'!M12</x:f>
        <x:v>0.07205000000000006</x:v>
      </x:c>
      <x:c r="D12" s="46" t="n">
        <x:f>'Raw Data'!N12</x:f>
        <x:v>12093.254790682113</x:v>
      </x:c>
      <x:c r="E12" s="49" t="n">
        <x:f>IFERROR(D12/'Raw Data'!J12,0)</x:f>
        <x:v>0.03148594594594558</x:v>
      </x:c>
      <x:c r="F12" t="str">
        <x:f>IF(D12&gt;=0,"EBITDA above budget","EBITDA below budget")</x:f>
        <x:v>EBITDA above budget</x:v>
      </x:c>
    </x:row>
    <x:row r="13">
      <x:c r="A13" s="48" t="n">
        <x:f>'Raw Data'!A13</x:f>
        <x:v>46296</x:v>
      </x:c>
      <x:c r="B13" s="46" t="n">
        <x:f>'Raw Data'!L13</x:f>
        <x:v>247448.7252603746</x:v>
      </x:c>
      <x:c r="C13" s="49" t="n">
        <x:f>'Raw Data'!M13</x:f>
        <x:v>0.11708000000000025</x:v>
      </x:c>
      <x:c r="D13" s="46" t="n">
        <x:f>'Raw Data'!N13</x:f>
        <x:v>45778.01417316921</x:v>
      </x:c>
      <x:c r="E13" s="49" t="n">
        <x:f>IFERROR(D13/'Raw Data'!J13,0)</x:f>
        <x:v>0.11707999999999996</x:v>
      </x:c>
      <x:c r="F13" t="str">
        <x:f>IF(D13&gt;=0,"EBITDA above budget","EBITDA below budget")</x:f>
        <x:v>EBITDA above budget</x:v>
      </x:c>
    </x:row>
    <x:row r="14">
      <x:c r="A14" s="48" t="n">
        <x:f>'Raw Data'!A14</x:f>
        <x:v>46327</x:v>
      </x:c>
      <x:c r="B14" s="46" t="n">
        <x:f>'Raw Data'!L14</x:f>
        <x:v>186603.433932228</x:v>
      </x:c>
      <x:c r="C14" s="49" t="n">
        <x:f>'Raw Data'!M14</x:f>
        <x:v>0.08673000000000013</x:v>
      </x:c>
      <x:c r="D14" s="46" t="n">
        <x:f>'Raw Data'!N14</x:f>
        <x:v>-550.58017690829</x:v>
      </x:c>
      <x:c r="E14" s="49" t="n">
        <x:f>IFERROR(D14/'Raw Data'!J14,0)</x:f>
        <x:v>-0.0013832432432432115</x:v>
      </x:c>
      <x:c r="F14" t="str">
        <x:f>IF(D14&gt;=0,"EBITDA above budget","EBITDA below budget")</x:f>
        <x:v>EBITDA below budget</x:v>
      </x:c>
    </x:row>
    <x:row r="15">
      <x:c r="A15" s="48" t="n">
        <x:f>'Raw Data'!A15</x:f>
        <x:v>46357</x:v>
      </x:c>
      <x:c r="B15" s="46" t="n">
        <x:f>'Raw Data'!L15</x:f>
        <x:v>399067.5692883204</x:v>
      </x:c>
      <x:c r="C15" s="49" t="n">
        <x:f>'Raw Data'!M15</x:f>
        <x:v>0.1822</x:v>
      </x:c>
      <x:c r="D15" s="46" t="n">
        <x:f>'Raw Data'!N15</x:f>
        <x:v>68648.82106024201</x:v>
      </x:c>
      <x:c r="E15" s="49" t="n">
        <x:f>IFERROR(D15/'Raw Data'!J15,0)</x:f>
        <x:v>0.16941945945945916</x:v>
      </x:c>
      <x:c r="F15" t="str">
        <x:f>IF(D15&gt;=0,"EBITDA above budget","EBITDA below budget")</x:f>
        <x:v>EBITDA above budget</x:v>
      </x:c>
    </x:row>
  </x:sheetData>
  <x:mergeCells>
    <x:mergeCell ref="A1:F1"/>
  </x:mergeCells>
  <x:conditionalFormatting sqref="B4:E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9a33ddbf64d4a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FP&amp;A KPI Summary</x:v>
      </x:c>
      <x:c r="B1" s="5"/>
      <x:c r="C1" s="5"/>
      <x:c r="D1" s="5"/>
      <x:c r="E1" s="5"/>
      <x:c r="F1" s="5"/>
    </x:row>
    <x:row r="3">
      <x:c r="A3" s="14" t="str">
        <x:v>KPI</x:v>
      </x:c>
      <x:c r="B3" s="14" t="str">
        <x:v>Actual</x:v>
      </x:c>
      <x:c r="C3" s="14" t="str">
        <x:v>Budget / Benchmark</x:v>
      </x:c>
    </x:row>
    <x:row r="4">
      <x:c r="A4" t="str">
        <x:v>Revenue</x:v>
      </x:c>
      <x:c r="B4" s="46" t="n">
        <x:f>SUM('Raw Data'!C4:C15)</x:f>
        <x:v>24944741.475311816</x:v>
      </x:c>
      <x:c r="C4" s="46" t="n">
        <x:f>SUM('Raw Data'!B4:B15)</x:f>
        <x:v>23872053.157552797</x:v>
      </x:c>
    </x:row>
    <x:row r="5">
      <x:c r="A5" t="str">
        <x:v>Gross Profit</x:v>
      </x:c>
      <x:c r="B5" s="46" t="n">
        <x:f>SUM('Raw Data'!G4:G15)</x:f>
        <x:v>10598603.94466073</x:v>
      </x:c>
      <x:c r="C5" s="46" t="n">
        <x:f>SUM('Raw Data'!F4:F15)</x:f>
        <x:v>10264982.857747706</x:v>
      </x:c>
    </x:row>
    <x:row r="6">
      <x:c r="A6" t="str">
        <x:v>Gross Margin</x:v>
      </x:c>
      <x:c r="B6" s="49" t="n">
        <x:f>SUM('Raw Data'!G4:G15)/SUM('Raw Data'!C4:C15)</x:f>
        <x:v>0.4248832947477258</x:v>
      </x:c>
      <x:c r="C6" s="49" t="n">
        <x:f>SUM('Raw Data'!F4:F15)/SUM('Raw Data'!B4:B15)</x:f>
        <x:v>0.4300000000000001</x:v>
      </x:c>
    </x:row>
    <x:row r="7">
      <x:c r="A7" t="str">
        <x:v>EBITDA</x:v>
      </x:c>
      <x:c r="B7" s="46" t="n">
        <x:f>SUM('Raw Data'!K4:K15)</x:f>
        <x:v>4343981.701474521</x:v>
      </x:c>
      <x:c r="C7" s="46" t="n">
        <x:f>SUM('Raw Data'!J4:J15)</x:f>
        <x:v>4416329.83414727</x:v>
      </x:c>
    </x:row>
    <x:row r="8">
      <x:c r="A8" t="str">
        <x:v>EBITDA Margin</x:v>
      </x:c>
      <x:c r="B8" s="49" t="n">
        <x:f>SUM('Raw Data'!K4:K15)/SUM('Raw Data'!C4:C15)</x:f>
        <x:v>0.1741441860912379</x:v>
      </x:c>
      <x:c r="C8" s="49" t="n">
        <x:f>SUM('Raw Data'!J4:J15)/SUM('Raw Data'!B4:B15)</x:f>
        <x:v>0.1850000000000001</x:v>
      </x:c>
    </x:row>
    <x:row r="9">
      <x:c r="A9" t="str">
        <x:v>Revenue Variance %</x:v>
      </x:c>
      <x:c r="B9" s="49" t="n">
        <x:f>(SUM('Raw Data'!C4:C15)-SUM('Raw Data'!B4:B15))/SUM('Raw Data'!B4:B15)</x:f>
        <x:v>0.044934899846251146</x:v>
      </x:c>
      <x:c r="C9" s="49" t="n">
        <x:f>0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54" t="str">
        <x:v>FP&amp;A Budget, Forecast &amp; Variance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 ht="28" customHeight="1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 ht="20" customHeight="1">
      <x:c r="A3" s="60" t="str">
        <x:v>Synthetic portfolio project | Financial Planning &amp; Analysis | FY2026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 ht="20" customHeight="1">
      <x:c r="A4" s="125" t="str">
        <x:v>Actual Revenue</x:v>
      </x:c>
      <x:c r="B4" s="125"/>
      <x:c r="C4" s="125"/>
      <x:c r="D4" s="125" t="str">
        <x:v>Actual Gross Margin</x:v>
      </x:c>
      <x:c r="E4" s="125"/>
      <x:c r="F4" s="125"/>
      <x:c r="G4" s="125" t="str">
        <x:v>Actual EBITDA</x:v>
      </x:c>
      <x:c r="H4" s="125"/>
      <x:c r="I4" s="125"/>
      <x:c r="J4" s="125" t="str">
        <x:v>Actual EBITDA Margin</x:v>
      </x:c>
      <x:c r="K4" s="125"/>
      <x:c r="L4" s="125"/>
    </x:row>
    <x:row r="5" ht="20" customHeight="1">
      <x:c r="A5" s="120" t="n">
        <x:f>'KPI Summary'!B4</x:f>
        <x:v>24944741.475311816</x:v>
      </x:c>
      <x:c r="B5" s="84"/>
      <x:c r="C5" s="85"/>
      <x:c r="D5" s="122" t="n">
        <x:f>'KPI Summary'!B6</x:f>
        <x:v>0.4248832947477258</x:v>
      </x:c>
      <x:c r="E5" s="84"/>
      <x:c r="F5" s="85"/>
      <x:c r="G5" s="120" t="n">
        <x:f>'KPI Summary'!B7</x:f>
        <x:v>4343981.701474521</x:v>
      </x:c>
      <x:c r="H5" s="84"/>
      <x:c r="I5" s="85"/>
      <x:c r="J5" s="122" t="n">
        <x:f>'KPI Summary'!B8</x:f>
        <x:v>0.1741441860912379</x:v>
      </x:c>
      <x:c r="K5" s="84"/>
      <x:c r="L5" s="85"/>
    </x:row>
    <x:row r="6" ht="20" customHeight="1">
      <x:c r="A6" s="86"/>
      <x:c r="B6" s="87"/>
      <x:c r="C6" s="88"/>
      <x:c r="D6" s="86"/>
      <x:c r="E6" s="87"/>
      <x:c r="F6" s="88"/>
      <x:c r="G6" s="86"/>
      <x:c r="H6" s="87"/>
      <x:c r="I6" s="88"/>
      <x:c r="J6" s="86"/>
      <x:c r="K6" s="87"/>
      <x:c r="L6" s="88"/>
    </x:row>
    <x:row r="7" ht="20" customHeight="1">
      <x:c r="A7" s="89"/>
      <x:c r="B7" s="90"/>
      <x:c r="C7" s="91"/>
      <x:c r="D7" s="89"/>
      <x:c r="E7" s="90"/>
      <x:c r="F7" s="91"/>
      <x:c r="G7" s="89"/>
      <x:c r="H7" s="90"/>
      <x:c r="I7" s="91"/>
      <x:c r="J7" s="89"/>
      <x:c r="K7" s="90"/>
      <x:c r="L7" s="91"/>
    </x:row>
    <x:row r="8" ht="20" customHeight="1"/>
    <x:row r="9" ht="20" customHeight="1"/>
    <x:row r="10" ht="20" customHeight="1">
      <x:c r="A10" s="14" t="str">
        <x:v>Month</x:v>
      </x:c>
      <x:c r="B10" s="14" t="str">
        <x:v>Budget Revenue</x:v>
      </x:c>
      <x:c r="C10" s="14" t="str">
        <x:v>Actual Revenue</x:v>
      </x:c>
    </x:row>
    <x:row r="11" ht="20" customHeight="1">
      <x:c r="A11" s="130" t="n">
        <x:f>'Raw Data'!A4</x:f>
        <x:v>46023</x:v>
      </x:c>
      <x:c r="B11" s="46" t="n">
        <x:f>'Raw Data'!B4</x:f>
        <x:v>1800000</x:v>
      </x:c>
      <x:c r="C11" s="46" t="n">
        <x:f>'Raw Data'!C4</x:f>
        <x:v>1702080</x:v>
      </x:c>
    </x:row>
    <x:row r="12" ht="20" customHeight="1">
      <x:c r="A12" s="130" t="n">
        <x:f>'Raw Data'!A5</x:f>
        <x:v>46054</x:v>
      </x:c>
      <x:c r="B12" s="46" t="n">
        <x:f>'Raw Data'!B5</x:f>
        <x:v>1832400</x:v>
      </x:c>
      <x:c r="C12" s="46" t="n">
        <x:f>'Raw Data'!C5</x:f>
        <x:v>1828075.536</x:v>
      </x:c>
    </x:row>
    <x:row r="13" ht="20" customHeight="1">
      <x:c r="A13" s="130" t="n">
        <x:f>'Raw Data'!A6</x:f>
        <x:v>46082</x:v>
      </x:c>
      <x:c r="B13" s="46" t="n">
        <x:f>'Raw Data'!B6</x:f>
        <x:v>1865383.2</x:v>
      </x:c>
      <x:c r="C13" s="46" t="n">
        <x:f>'Raw Data'!C6</x:f>
        <x:v>1813152.4704</x:v>
      </x:c>
    </x:row>
    <x:row r="14" ht="20" customHeight="1">
      <x:c r="A14" s="130" t="n">
        <x:f>'Raw Data'!A7</x:f>
        <x:v>46113</x:v>
      </x:c>
      <x:c r="B14" s="46" t="n">
        <x:f>'Raw Data'!B7</x:f>
        <x:v>1898960.0976</x:v>
      </x:c>
      <x:c r="C14" s="46" t="n">
        <x:f>'Raw Data'!C7</x:f>
        <x:v>1987299.7213403522</x:v>
      </x:c>
    </x:row>
    <x:row r="15" ht="20" customHeight="1">
      <x:c r="A15" s="130" t="n">
        <x:f>'Raw Data'!A8</x:f>
        <x:v>46143</x:v>
      </x:c>
      <x:c r="B15" s="46" t="n">
        <x:f>'Raw Data'!B8</x:f>
        <x:v>1933141.3793568</x:v>
      </x:c>
      <x:c r="C15" s="46" t="n">
        <x:f>'Raw Data'!C8</x:f>
        <x:v>1968092.5754955711</x:v>
      </x:c>
    </x:row>
    <x:row r="16" ht="20" customHeight="1">
      <x:c r="A16" s="130" t="n">
        <x:f>'Raw Data'!A9</x:f>
        <x:v>46174</x:v>
      </x:c>
      <x:c r="B16" s="46" t="n">
        <x:f>'Raw Data'!B9</x:f>
        <x:v>1967937.9241852225</x:v>
      </x:c>
      <x:c r="C16" s="46" t="n">
        <x:f>'Raw Data'!C9</x:f>
        <x:v>2028235.5421822579</x:v>
      </x:c>
    </x:row>
    <x:row r="17" ht="20" customHeight="1">
      <x:c r="A17" s="130" t="n">
        <x:f>'Raw Data'!A10</x:f>
        <x:v>46204</x:v>
      </x:c>
      <x:c r="B17" s="46" t="n">
        <x:f>'Raw Data'!B10</x:f>
        <x:v>2003360.8068205565</x:v>
      </x:c>
      <x:c r="C17" s="46" t="n">
        <x:f>'Raw Data'!C10</x:f>
        <x:v>2129492.403217979</x:v>
      </x:c>
    </x:row>
    <x:row r="18" ht="20" customHeight="1">
      <x:c r="A18" s="130" t="n">
        <x:f>'Raw Data'!A11</x:f>
        <x:v>46235</x:v>
      </x:c>
      <x:c r="B18" s="46" t="n">
        <x:f>'Raw Data'!B11</x:f>
        <x:v>2039421.3013433265</x:v>
      </x:c>
      <x:c r="C18" s="46" t="n">
        <x:f>'Raw Data'!C11</x:f>
        <x:v>1974159.81970034</x:v>
      </x:c>
    </x:row>
    <x:row r="19" ht="20" customHeight="1">
      <x:c r="A19" s="130" t="n">
        <x:f>'Raw Data'!A12</x:f>
        <x:v>46266</x:v>
      </x:c>
      <x:c r="B19" s="46" t="n">
        <x:f>'Raw Data'!B12</x:f>
        <x:v>2076130.8847675063</x:v>
      </x:c>
      <x:c r="C19" s="46" t="n">
        <x:f>'Raw Data'!C12</x:f>
        <x:v>2225716.115015005</x:v>
      </x:c>
    </x:row>
    <x:row r="20" ht="20" customHeight="1">
      <x:c r="A20" s="130" t="n">
        <x:f>'Raw Data'!A13</x:f>
        <x:v>46296</x:v>
      </x:c>
      <x:c r="B20" s="46" t="n">
        <x:f>'Raw Data'!B13</x:f>
        <x:v>2113501.2406933215</x:v>
      </x:c>
      <x:c r="C20" s="46" t="n">
        <x:f>'Raw Data'!C13</x:f>
        <x:v>2360949.965953696</x:v>
      </x:c>
    </x:row>
    <x:row r="21" ht="20" customHeight="1">
      <x:c r="A21" s="130" t="n">
        <x:f>'Raw Data'!A14</x:f>
        <x:v>46327</x:v>
      </x:c>
      <x:c r="B21" s="46" t="n">
        <x:f>'Raw Data'!B14</x:f>
        <x:v>2151544.263025801</x:v>
      </x:c>
      <x:c r="C21" s="46" t="n">
        <x:f>'Raw Data'!C14</x:f>
        <x:v>2338147.696958029</x:v>
      </x:c>
    </x:row>
    <x:row r="22" ht="20" customHeight="1">
      <x:c r="A22" s="130" t="n">
        <x:f>'Raw Data'!A15</x:f>
        <x:v>46357</x:v>
      </x:c>
      <x:c r="B22" s="46" t="n">
        <x:f>'Raw Data'!B15</x:f>
        <x:v>2190272.0597602655</x:v>
      </x:c>
      <x:c r="C22" s="46" t="n">
        <x:f>'Raw Data'!C15</x:f>
        <x:v>2589339.629048586</x:v>
      </x:c>
    </x:row>
    <x:row r="23" ht="20" customHeight="1"/>
    <x:row r="24" ht="20" customHeight="1"/>
    <x:row r="25" ht="20" customHeight="1">
      <x:c r="A25" s="14" t="str">
        <x:v>Month</x:v>
      </x:c>
      <x:c r="B25" s="14" t="str">
        <x:v>Budget EBITDA</x:v>
      </x:c>
      <x:c r="C25" s="14" t="str">
        <x:v>Actual EBITDA</x:v>
      </x:c>
    </x:row>
    <x:row r="26" ht="20" customHeight="1">
      <x:c r="A26" s="130" t="n">
        <x:f>'Raw Data'!A4</x:f>
        <x:v>46023</x:v>
      </x:c>
      <x:c r="B26" s="46" t="n">
        <x:f>'Raw Data'!J4</x:f>
        <x:v>333000.0000000001</x:v>
      </x:c>
      <x:c r="C26" s="46" t="n">
        <x:f>'Raw Data'!K4</x:f>
        <x:v>285949.44000000006</x:v>
      </x:c>
    </x:row>
    <x:row r="27" ht="20" customHeight="1">
      <x:c r="A27" s="130" t="n">
        <x:f>'Raw Data'!A5</x:f>
        <x:v>46054</x:v>
      </x:c>
      <x:c r="B27" s="46" t="n">
        <x:f>'Raw Data'!J5</x:f>
        <x:v>338994.0000000001</x:v>
      </x:c>
      <x:c r="C27" s="46" t="n">
        <x:f>'Raw Data'!K5</x:f>
        <x:v>323569.36987200007</x:v>
      </x:c>
    </x:row>
    <x:row r="28" ht="20" customHeight="1">
      <x:c r="A28" s="130" t="n">
        <x:f>'Raw Data'!A6</x:f>
        <x:v>46082</x:v>
      </x:c>
      <x:c r="B28" s="46" t="n">
        <x:f>'Raw Data'!J6</x:f>
        <x:v>345095.8920000001</x:v>
      </x:c>
      <x:c r="C28" s="46" t="n">
        <x:f>'Raw Data'!K6</x:f>
        <x:v>293730.70020479994</x:v>
      </x:c>
    </x:row>
    <x:row r="29" ht="20" customHeight="1">
      <x:c r="A29" s="130" t="n">
        <x:f>'Raw Data'!A7</x:f>
        <x:v>46113</x:v>
      </x:c>
      <x:c r="B29" s="46" t="n">
        <x:f>'Raw Data'!J7</x:f>
        <x:v>351307.6180560002</x:v>
      </x:c>
      <x:c r="C29" s="46" t="n">
        <x:f>'Raw Data'!K7</x:f>
        <x:v>361688.5492839443</x:v>
      </x:c>
    </x:row>
    <x:row r="30" ht="20" customHeight="1">
      <x:c r="A30" s="130" t="n">
        <x:f>'Raw Data'!A8</x:f>
        <x:v>46143</x:v>
      </x:c>
      <x:c r="B30" s="46" t="n">
        <x:f>'Raw Data'!J8</x:f>
        <x:v>357631.15518100804</x:v>
      </x:c>
      <x:c r="C30" s="46" t="n">
        <x:f>'Raw Data'!K8</x:f>
        <x:v>332607.6452587515</x:v>
      </x:c>
    </x:row>
    <x:row r="31" ht="20" customHeight="1">
      <x:c r="A31" s="130" t="n">
        <x:f>'Raw Data'!A9</x:f>
        <x:v>46174</x:v>
      </x:c>
      <x:c r="B31" s="46" t="n">
        <x:f>'Raw Data'!J9</x:f>
        <x:v>364068.51597426616</x:v>
      </x:c>
      <x:c r="C31" s="46" t="n">
        <x:f>'Raw Data'!K9</x:f>
        <x:v>338715.3355444372</x:v>
      </x:c>
    </x:row>
    <x:row r="32" ht="20" customHeight="1">
      <x:c r="A32" s="130" t="n">
        <x:f>'Raw Data'!A10</x:f>
        <x:v>46204</x:v>
      </x:c>
      <x:c r="B32" s="46" t="n">
        <x:f>'Raw Data'!J10</x:f>
        <x:v>370621.74926180305</x:v>
      </x:c>
      <x:c r="C32" s="46" t="n">
        <x:f>'Raw Data'!K10</x:f>
        <x:v>387567.6173856722</x:v>
      </x:c>
    </x:row>
    <x:row r="33" ht="20" customHeight="1">
      <x:c r="A33" s="130" t="n">
        <x:f>'Raw Data'!A11</x:f>
        <x:v>46235</x:v>
      </x:c>
      <x:c r="B33" s="46" t="n">
        <x:f>'Raw Data'!J11</x:f>
        <x:v>377292.9407485155</x:v>
      </x:c>
      <x:c r="C33" s="46" t="n">
        <x:f>'Raw Data'!K11</x:f>
        <x:v>315865.57115205453</x:v>
      </x:c>
    </x:row>
    <x:row r="34" ht="20" customHeight="1">
      <x:c r="A34" s="130" t="n">
        <x:f>'Raw Data'!A12</x:f>
        <x:v>46266</x:v>
      </x:c>
      <x:c r="B34" s="46" t="n">
        <x:f>'Raw Data'!J12</x:f>
        <x:v>384084.2136819889</x:v>
      </x:c>
      <x:c r="C34" s="46" t="n">
        <x:f>'Raw Data'!K12</x:f>
        <x:v>396177.468472671</x:v>
      </x:c>
    </x:row>
    <x:row r="35" ht="20" customHeight="1">
      <x:c r="A35" s="130" t="n">
        <x:f>'Raw Data'!A13</x:f>
        <x:v>46296</x:v>
      </x:c>
      <x:c r="B35" s="46" t="n">
        <x:f>'Raw Data'!J13</x:f>
        <x:v>390997.72952826467</x:v>
      </x:c>
      <x:c r="C35" s="46" t="n">
        <x:f>'Raw Data'!K13</x:f>
        <x:v>436775.7437014339</x:v>
      </x:c>
    </x:row>
    <x:row r="36" ht="20" customHeight="1">
      <x:c r="A36" s="130" t="n">
        <x:f>'Raw Data'!A14</x:f>
        <x:v>46327</x:v>
      </x:c>
      <x:c r="B36" s="46" t="n">
        <x:f>'Raw Data'!J14</x:f>
        <x:v>398035.6886597733</x:v>
      </x:c>
      <x:c r="C36" s="46" t="n">
        <x:f>'Raw Data'!K14</x:f>
        <x:v>397485.10848286503</x:v>
      </x:c>
    </x:row>
    <x:row r="37" ht="20" customHeight="1">
      <x:c r="A37" s="130" t="n">
        <x:f>'Raw Data'!A15</x:f>
        <x:v>46357</x:v>
      </x:c>
      <x:c r="B37" s="46" t="n">
        <x:f>'Raw Data'!J15</x:f>
        <x:v>405200.3310556493</x:v>
      </x:c>
      <x:c r="C37" s="46" t="n">
        <x:f>'Raw Data'!K15</x:f>
        <x:v>473849.15211589134</x:v>
      </x:c>
    </x:row>
    <x:row r="38" ht="20" customHeight="1"/>
    <x:row r="39" ht="20" customHeight="1"/>
    <x:row r="40" ht="20" customHeight="1">
      <x:c r="A40" s="30" t="str">
        <x:v>Portfolio Takeaway</x:v>
      </x:c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 ht="20" customHeight="1">
      <x:c r="A41" s="133" t="str">
        <x:v>This model demonstrates budgeting, monthly performance tracking, variance analysis, KPI reporting, and forward forecasting using a fully synthetic dataset. Assumptions are editable to support scenario analysis.</x:v>
      </x:c>
      <x:c r="B41" s="133"/>
      <x:c r="C41" s="133"/>
      <x:c r="D41" s="133"/>
      <x:c r="E41" s="133"/>
      <x:c r="F41" s="133"/>
      <x:c r="G41" s="133"/>
      <x:c r="H41" s="133"/>
      <x:c r="I41" s="133"/>
      <x:c r="J41" s="133"/>
      <x:c r="K41" s="133"/>
      <x:c r="L41" s="133"/>
    </x:row>
    <x:row r="42" ht="20" customHeight="1">
      <x:c r="A42" s="133"/>
      <x:c r="B42" s="133"/>
      <x:c r="C42" s="133"/>
      <x:c r="D42" s="133"/>
      <x:c r="E42" s="133"/>
      <x:c r="F42" s="133"/>
      <x:c r="G42" s="133"/>
      <x:c r="H42" s="133"/>
      <x:c r="I42" s="133"/>
      <x:c r="J42" s="133"/>
      <x:c r="K42" s="133"/>
      <x:c r="L42" s="133"/>
    </x:row>
    <x:row r="43" ht="20" customHeight="1">
      <x:c r="A43" s="133"/>
      <x:c r="B43" s="133"/>
      <x:c r="C43" s="133"/>
      <x:c r="D43" s="133"/>
      <x:c r="E43" s="133"/>
      <x:c r="F43" s="133"/>
      <x:c r="G43" s="133"/>
      <x:c r="H43" s="133"/>
      <x:c r="I43" s="133"/>
      <x:c r="J43" s="133"/>
      <x:c r="K43" s="133"/>
      <x:c r="L43" s="133"/>
    </x:row>
  </x:sheetData>
  <x:mergeCells>
    <x:mergeCell ref="A1:L2"/>
    <x:mergeCell ref="A3:L3"/>
    <x:mergeCell ref="A5:C7"/>
    <x:mergeCell ref="D5:F7"/>
    <x:mergeCell ref="G5:I7"/>
    <x:mergeCell ref="J5:L7"/>
    <x:mergeCell ref="A4:C4"/>
    <x:mergeCell ref="D4:F4"/>
    <x:mergeCell ref="G4:I4"/>
    <x:mergeCell ref="J4:L4"/>
    <x:mergeCell ref="A40:L40"/>
    <x:mergeCell ref="A41:L43"/>
  </x:mergeCells>
  <x:pageMargins left="0.7" right="0.7" top="0.75" bottom="0.75" header="0.3" footer="0.3"/>
  <x:drawing xmlns:r="http://schemas.openxmlformats.org/officeDocument/2006/relationships" r:id="Rbd5be5c9032349af"/>
</x:worksheet>
</file>